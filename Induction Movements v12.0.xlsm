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ulie\Desktop\Johns Work\"/>
    </mc:Choice>
  </mc:AlternateContent>
  <bookViews>
    <workbookView xWindow="0" yWindow="0" windowWidth="23040" windowHeight="8532"/>
  </bookViews>
  <sheets>
    <sheet name="Movements Sheet" sheetId="1" r:id="rId1"/>
    <sheet name="T-Card 1" sheetId="35" r:id="rId2"/>
    <sheet name="T-Card 2" sheetId="24" r:id="rId3"/>
    <sheet name="T-Card 3" sheetId="25" r:id="rId4"/>
    <sheet name="T-Card 4" sheetId="26" r:id="rId5"/>
    <sheet name="T-Card 5" sheetId="28" r:id="rId6"/>
    <sheet name="T-Card 6" sheetId="27" r:id="rId7"/>
    <sheet name="T-Card 7" sheetId="29" r:id="rId8"/>
    <sheet name="T-Card 8" sheetId="30" r:id="rId9"/>
    <sheet name="T-Card 9" sheetId="31" r:id="rId10"/>
    <sheet name="T-Card 10" sheetId="32" r:id="rId11"/>
    <sheet name="T-Card 11" sheetId="33" r:id="rId12"/>
    <sheet name="T-Card 12" sheetId="34" r:id="rId13"/>
    <sheet name="Cell Cards" sheetId="7" r:id="rId14"/>
    <sheet name="Cell Cards 2" sheetId="8" r:id="rId15"/>
    <sheet name="Cell Cards 3" sheetId="9" r:id="rId16"/>
    <sheet name="Cell Cards 4" sheetId="10" r:id="rId17"/>
    <sheet name="Gym Card 1" sheetId="11" r:id="rId18"/>
    <sheet name="Gym Card 2" sheetId="50" r:id="rId19"/>
    <sheet name="Gym Card 3" sheetId="51" r:id="rId20"/>
    <sheet name="Gym Card 4" sheetId="52" r:id="rId21"/>
    <sheet name="Gym Card 5" sheetId="53" r:id="rId22"/>
    <sheet name="Gym Card 6" sheetId="54" r:id="rId23"/>
    <sheet name="Gym Card 7" sheetId="55" r:id="rId24"/>
    <sheet name="Gym Card 8" sheetId="56" r:id="rId25"/>
    <sheet name="Gym Card 9" sheetId="57" r:id="rId26"/>
    <sheet name="Gym Card 10" sheetId="58" r:id="rId27"/>
    <sheet name="Gym Card 11" sheetId="59" r:id="rId28"/>
    <sheet name="Gym Card 12" sheetId="60" r:id="rId29"/>
    <sheet name="Label Sheet 1" sheetId="36" r:id="rId30"/>
    <sheet name="Label Sheet 2" sheetId="37" r:id="rId31"/>
    <sheet name="Label Sheet 3" sheetId="38" r:id="rId32"/>
    <sheet name="Label Sheet 4" sheetId="39" r:id="rId33"/>
    <sheet name="Label Sheet 5" sheetId="40" r:id="rId34"/>
    <sheet name="Label Sheet 6" sheetId="41" r:id="rId35"/>
    <sheet name="Label Sheet 7" sheetId="42" r:id="rId36"/>
    <sheet name="Label Sheet 8" sheetId="43" r:id="rId37"/>
    <sheet name="Label Sheet 9" sheetId="44" r:id="rId38"/>
    <sheet name="Label Sheet 10" sheetId="45" r:id="rId39"/>
    <sheet name="Label Sheet 11" sheetId="46" r:id="rId40"/>
    <sheet name="Label Sheet 12" sheetId="47" r:id="rId41"/>
    <sheet name="Data Validation" sheetId="5" r:id="rId42"/>
    <sheet name="Blank Lables" sheetId="61" r:id="rId43"/>
    <sheet name="Data" sheetId="3" r:id="rId44"/>
    <sheet name="UTILITY" sheetId="48" r:id="rId45"/>
    <sheet name="UTILITY CARD" sheetId="49" r:id="rId46"/>
  </sheets>
  <definedNames>
    <definedName name="DATA">'Movements Sheet'!$A$6:$S$37</definedName>
    <definedName name="_xlnm.Print_Area" localSheetId="6">'T-Card 6'!$A$1:$H$52</definedName>
    <definedName name="Text1" localSheetId="13">'Cell Cards'!$D$2</definedName>
    <definedName name="Text1" localSheetId="14">'Cell Cards 2'!$D$2</definedName>
    <definedName name="Text1" localSheetId="15">'Cell Cards 3'!$D$2</definedName>
    <definedName name="Text1" localSheetId="16">'Cell Cards 4'!$D$2</definedName>
    <definedName name="Text10" localSheetId="13">'Cell Cards'!$B$14</definedName>
    <definedName name="Text10" localSheetId="14">'Cell Cards 2'!$B$14</definedName>
    <definedName name="Text10" localSheetId="15">'Cell Cards 3'!$B$14</definedName>
    <definedName name="Text10" localSheetId="16">'Cell Cards 4'!$B$14</definedName>
    <definedName name="Text11" localSheetId="13">'Cell Cards'!$E$14</definedName>
    <definedName name="Text11" localSheetId="14">'Cell Cards 2'!$E$14</definedName>
    <definedName name="Text11" localSheetId="15">'Cell Cards 3'!$E$14</definedName>
    <definedName name="Text11" localSheetId="16">'Cell Cards 4'!$E$14</definedName>
    <definedName name="Text12" localSheetId="13">'Cell Cards'!$G$14</definedName>
    <definedName name="Text12" localSheetId="14">'Cell Cards 2'!$G$14</definedName>
    <definedName name="Text12" localSheetId="15">'Cell Cards 3'!$G$14</definedName>
    <definedName name="Text12" localSheetId="16">'Cell Cards 4'!$G$14</definedName>
    <definedName name="Text13" localSheetId="13">'Cell Cards'!#REF!</definedName>
    <definedName name="Text13" localSheetId="14">'Cell Cards 2'!#REF!</definedName>
    <definedName name="Text13" localSheetId="15">'Cell Cards 3'!#REF!</definedName>
    <definedName name="Text13" localSheetId="16">'Cell Cards 4'!#REF!</definedName>
    <definedName name="Text17" localSheetId="13">'Cell Cards'!#REF!</definedName>
    <definedName name="Text17" localSheetId="14">'Cell Cards 2'!#REF!</definedName>
    <definedName name="Text17" localSheetId="15">'Cell Cards 3'!#REF!</definedName>
    <definedName name="Text17" localSheetId="16">'Cell Cards 4'!#REF!</definedName>
    <definedName name="Text18" localSheetId="13">'Cell Cards'!#REF!</definedName>
    <definedName name="Text18" localSheetId="14">'Cell Cards 2'!#REF!</definedName>
    <definedName name="Text18" localSheetId="15">'Cell Cards 3'!#REF!</definedName>
    <definedName name="Text18" localSheetId="16">'Cell Cards 4'!#REF!</definedName>
    <definedName name="Text19" localSheetId="13">'Cell Cards'!#REF!</definedName>
    <definedName name="Text19" localSheetId="14">'Cell Cards 2'!#REF!</definedName>
    <definedName name="Text19" localSheetId="15">'Cell Cards 3'!#REF!</definedName>
    <definedName name="Text19" localSheetId="16">'Cell Cards 4'!#REF!</definedName>
    <definedName name="Text20" localSheetId="13">'Cell Cards'!#REF!</definedName>
    <definedName name="Text20" localSheetId="14">'Cell Cards 2'!#REF!</definedName>
    <definedName name="Text20" localSheetId="15">'Cell Cards 3'!#REF!</definedName>
    <definedName name="Text20" localSheetId="16">'Cell Cards 4'!#REF!</definedName>
    <definedName name="Text21" localSheetId="13">'Cell Cards'!#REF!</definedName>
    <definedName name="Text21" localSheetId="14">'Cell Cards 2'!#REF!</definedName>
    <definedName name="Text21" localSheetId="15">'Cell Cards 3'!#REF!</definedName>
    <definedName name="Text21" localSheetId="16">'Cell Cards 4'!#REF!</definedName>
    <definedName name="Text22" localSheetId="13">'Cell Cards'!#REF!</definedName>
    <definedName name="Text22" localSheetId="14">'Cell Cards 2'!#REF!</definedName>
    <definedName name="Text22" localSheetId="15">'Cell Cards 3'!#REF!</definedName>
    <definedName name="Text22" localSheetId="16">'Cell Cards 4'!#REF!</definedName>
    <definedName name="Text23" localSheetId="13">'Cell Cards'!#REF!</definedName>
    <definedName name="Text23" localSheetId="14">'Cell Cards 2'!#REF!</definedName>
    <definedName name="Text23" localSheetId="15">'Cell Cards 3'!#REF!</definedName>
    <definedName name="Text23" localSheetId="16">'Cell Cards 4'!#REF!</definedName>
    <definedName name="Text24" localSheetId="13">'Cell Cards'!#REF!</definedName>
    <definedName name="Text24" localSheetId="14">'Cell Cards 2'!#REF!</definedName>
    <definedName name="Text24" localSheetId="15">'Cell Cards 3'!#REF!</definedName>
    <definedName name="Text24" localSheetId="16">'Cell Cards 4'!#REF!</definedName>
    <definedName name="Text25" localSheetId="13">'Cell Cards'!#REF!</definedName>
    <definedName name="Text25" localSheetId="14">'Cell Cards 2'!#REF!</definedName>
    <definedName name="Text25" localSheetId="15">'Cell Cards 3'!#REF!</definedName>
    <definedName name="Text25" localSheetId="16">'Cell Cards 4'!#REF!</definedName>
    <definedName name="Text29" localSheetId="13">'Cell Cards'!#REF!</definedName>
    <definedName name="Text29" localSheetId="14">'Cell Cards 2'!#REF!</definedName>
    <definedName name="Text29" localSheetId="15">'Cell Cards 3'!#REF!</definedName>
    <definedName name="Text29" localSheetId="16">'Cell Cards 4'!#REF!</definedName>
    <definedName name="Text30" localSheetId="13">'Cell Cards'!#REF!</definedName>
    <definedName name="Text30" localSheetId="14">'Cell Cards 2'!#REF!</definedName>
    <definedName name="Text30" localSheetId="15">'Cell Cards 3'!#REF!</definedName>
    <definedName name="Text30" localSheetId="16">'Cell Cards 4'!#REF!</definedName>
    <definedName name="Text31" localSheetId="13">'Cell Cards'!#REF!</definedName>
    <definedName name="Text31" localSheetId="14">'Cell Cards 2'!#REF!</definedName>
    <definedName name="Text31" localSheetId="15">'Cell Cards 3'!#REF!</definedName>
    <definedName name="Text31" localSheetId="16">'Cell Cards 4'!#REF!</definedName>
    <definedName name="Text32" localSheetId="13">'Cell Cards'!#REF!</definedName>
    <definedName name="Text32" localSheetId="14">'Cell Cards 2'!#REF!</definedName>
    <definedName name="Text32" localSheetId="15">'Cell Cards 3'!#REF!</definedName>
    <definedName name="Text32" localSheetId="16">'Cell Cards 4'!#REF!</definedName>
    <definedName name="Text33" localSheetId="13">'Cell Cards'!#REF!</definedName>
    <definedName name="Text33" localSheetId="14">'Cell Cards 2'!#REF!</definedName>
    <definedName name="Text33" localSheetId="15">'Cell Cards 3'!#REF!</definedName>
    <definedName name="Text33" localSheetId="16">'Cell Cards 4'!#REF!</definedName>
    <definedName name="Text34" localSheetId="13">'Cell Cards'!#REF!</definedName>
    <definedName name="Text34" localSheetId="14">'Cell Cards 2'!#REF!</definedName>
    <definedName name="Text34" localSheetId="15">'Cell Cards 3'!#REF!</definedName>
    <definedName name="Text34" localSheetId="16">'Cell Cards 4'!#REF!</definedName>
    <definedName name="Text35" localSheetId="13">'Cell Cards'!#REF!</definedName>
    <definedName name="Text35" localSheetId="14">'Cell Cards 2'!#REF!</definedName>
    <definedName name="Text35" localSheetId="15">'Cell Cards 3'!#REF!</definedName>
    <definedName name="Text35" localSheetId="16">'Cell Cards 4'!#REF!</definedName>
    <definedName name="Text36" localSheetId="13">'Cell Cards'!#REF!</definedName>
    <definedName name="Text36" localSheetId="14">'Cell Cards 2'!#REF!</definedName>
    <definedName name="Text36" localSheetId="15">'Cell Cards 3'!#REF!</definedName>
    <definedName name="Text36" localSheetId="16">'Cell Cards 4'!#REF!</definedName>
    <definedName name="Text5" localSheetId="13">'Cell Cards'!$D$6</definedName>
    <definedName name="Text5" localSheetId="14">'Cell Cards 2'!$D$6</definedName>
    <definedName name="Text5" localSheetId="15">'Cell Cards 3'!$D$6</definedName>
    <definedName name="Text5" localSheetId="16">'Cell Cards 4'!$D$6</definedName>
    <definedName name="Text6" localSheetId="13">'Cell Cards'!$D$7</definedName>
    <definedName name="Text6" localSheetId="14">'Cell Cards 2'!$D$7</definedName>
    <definedName name="Text6" localSheetId="15">'Cell Cards 3'!$D$7</definedName>
    <definedName name="Text6" localSheetId="16">'Cell Cards 4'!$D$7</definedName>
    <definedName name="Text7" localSheetId="13">'Cell Cards'!$A$9</definedName>
    <definedName name="Text7" localSheetId="14">'Cell Cards 2'!$A$9</definedName>
    <definedName name="Text7" localSheetId="15">'Cell Cards 3'!$A$9</definedName>
    <definedName name="Text7" localSheetId="16">'Cell Cards 4'!$A$9</definedName>
    <definedName name="Text8" localSheetId="13">'Cell Cards'!$A$12</definedName>
    <definedName name="Text8" localSheetId="14">'Cell Cards 2'!$A$12</definedName>
    <definedName name="Text8" localSheetId="15">'Cell Cards 3'!$A$12</definedName>
    <definedName name="Text8" localSheetId="16">'Cell Cards 4'!$A$12</definedName>
    <definedName name="Text9" localSheetId="13">'Cell Cards'!$E$12</definedName>
    <definedName name="Text9" localSheetId="14">'Cell Cards 2'!$E$12</definedName>
    <definedName name="Text9" localSheetId="15">'Cell Cards 3'!$E$12</definedName>
    <definedName name="Text9" localSheetId="16">'Cell Cards 4'!$E$12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8" l="1"/>
  <c r="L5" i="8"/>
  <c r="A37" i="60" l="1"/>
  <c r="G10" i="60"/>
  <c r="A16" i="60"/>
  <c r="A6" i="60"/>
  <c r="D11" i="60"/>
  <c r="A37" i="59"/>
  <c r="G10" i="59"/>
  <c r="A16" i="59"/>
  <c r="A6" i="59"/>
  <c r="D11" i="59"/>
  <c r="A37" i="58"/>
  <c r="G10" i="58"/>
  <c r="A16" i="58"/>
  <c r="A6" i="58"/>
  <c r="D11" i="58"/>
  <c r="A37" i="57"/>
  <c r="G10" i="57"/>
  <c r="A16" i="57"/>
  <c r="A6" i="57"/>
  <c r="D11" i="57"/>
  <c r="A37" i="56"/>
  <c r="G10" i="56"/>
  <c r="A16" i="56"/>
  <c r="A6" i="56"/>
  <c r="D11" i="56"/>
  <c r="G10" i="55"/>
  <c r="A37" i="55"/>
  <c r="A16" i="55"/>
  <c r="A6" i="55"/>
  <c r="D11" i="55"/>
  <c r="A37" i="54"/>
  <c r="G10" i="54"/>
  <c r="A16" i="54"/>
  <c r="A6" i="54"/>
  <c r="D11" i="54"/>
  <c r="A37" i="53"/>
  <c r="G10" i="53"/>
  <c r="A16" i="53"/>
  <c r="A6" i="53"/>
  <c r="D11" i="53"/>
  <c r="G10" i="52"/>
  <c r="A37" i="52"/>
  <c r="A16" i="52"/>
  <c r="A6" i="52"/>
  <c r="D11" i="52"/>
  <c r="G10" i="51"/>
  <c r="A37" i="51"/>
  <c r="A16" i="51"/>
  <c r="A6" i="51"/>
  <c r="D11" i="51"/>
  <c r="G10" i="50"/>
  <c r="A37" i="50"/>
  <c r="A16" i="50"/>
  <c r="A6" i="50"/>
  <c r="D11" i="50"/>
  <c r="G10" i="11"/>
  <c r="A6" i="11"/>
  <c r="C10" i="47" l="1"/>
  <c r="C10" i="46"/>
  <c r="C10" i="45"/>
  <c r="C10" i="44"/>
  <c r="C10" i="43"/>
  <c r="C10" i="42"/>
  <c r="C10" i="41"/>
  <c r="C10" i="40"/>
  <c r="C10" i="39"/>
  <c r="C10" i="38"/>
  <c r="C10" i="37"/>
  <c r="C10" i="36"/>
  <c r="C34" i="36" s="1"/>
  <c r="E17" i="34"/>
  <c r="E17" i="33"/>
  <c r="E17" i="32"/>
  <c r="E17" i="31"/>
  <c r="E17" i="30"/>
  <c r="E17" i="29"/>
  <c r="E17" i="27"/>
  <c r="E17" i="28"/>
  <c r="E17" i="26"/>
  <c r="E17" i="25"/>
  <c r="E17" i="24"/>
  <c r="E17" i="35"/>
  <c r="E11" i="35"/>
  <c r="C58" i="36" l="1"/>
  <c r="G34" i="36"/>
  <c r="C46" i="36"/>
  <c r="G46" i="36"/>
  <c r="G58" i="36"/>
  <c r="A3" i="47"/>
  <c r="E3" i="47"/>
  <c r="E15" i="47"/>
  <c r="A15" i="47"/>
  <c r="A27" i="47"/>
  <c r="E27" i="47"/>
  <c r="E39" i="47"/>
  <c r="A39" i="47"/>
  <c r="A51" i="47"/>
  <c r="E51" i="47"/>
  <c r="A3" i="46"/>
  <c r="A15" i="46"/>
  <c r="E15" i="46"/>
  <c r="E3" i="46"/>
  <c r="A27" i="46"/>
  <c r="E27" i="46"/>
  <c r="A51" i="46"/>
  <c r="A39" i="46"/>
  <c r="E39" i="46"/>
  <c r="E51" i="46"/>
  <c r="E3" i="45"/>
  <c r="A3" i="45"/>
  <c r="A15" i="45"/>
  <c r="E27" i="45"/>
  <c r="E15" i="45"/>
  <c r="A27" i="45"/>
  <c r="A39" i="45"/>
  <c r="A51" i="45"/>
  <c r="E39" i="45"/>
  <c r="E51" i="45"/>
  <c r="A3" i="44"/>
  <c r="E3" i="44"/>
  <c r="A51" i="44"/>
  <c r="A39" i="44"/>
  <c r="A27" i="44"/>
  <c r="E15" i="44"/>
  <c r="A15" i="44"/>
  <c r="E27" i="44"/>
  <c r="E39" i="44"/>
  <c r="E51" i="44"/>
  <c r="A15" i="43"/>
  <c r="A3" i="43"/>
  <c r="E15" i="43"/>
  <c r="E3" i="43"/>
  <c r="A51" i="43"/>
  <c r="A39" i="43"/>
  <c r="A27" i="43"/>
  <c r="E27" i="43"/>
  <c r="E39" i="43"/>
  <c r="E51" i="43"/>
  <c r="A3" i="42"/>
  <c r="E3" i="42"/>
  <c r="E15" i="42"/>
  <c r="A15" i="42"/>
  <c r="A27" i="42"/>
  <c r="E27" i="42"/>
  <c r="E39" i="42"/>
  <c r="A39" i="42"/>
  <c r="A51" i="42"/>
  <c r="E51" i="42"/>
  <c r="E3" i="41"/>
  <c r="A3" i="41"/>
  <c r="A15" i="41"/>
  <c r="E15" i="41"/>
  <c r="A27" i="41"/>
  <c r="E27" i="41"/>
  <c r="E39" i="41"/>
  <c r="A39" i="41"/>
  <c r="A51" i="41"/>
  <c r="E51" i="41"/>
  <c r="A3" i="40"/>
  <c r="E3" i="40"/>
  <c r="E15" i="40"/>
  <c r="A15" i="40"/>
  <c r="A27" i="40"/>
  <c r="E27" i="40"/>
  <c r="E39" i="40"/>
  <c r="A39" i="40"/>
  <c r="A51" i="40"/>
  <c r="E51" i="40"/>
  <c r="E3" i="39"/>
  <c r="A3" i="39"/>
  <c r="A15" i="39"/>
  <c r="E15" i="39"/>
  <c r="E27" i="39"/>
  <c r="A27" i="39"/>
  <c r="A39" i="39"/>
  <c r="E39" i="39"/>
  <c r="E51" i="39"/>
  <c r="A51" i="39"/>
  <c r="A3" i="38"/>
  <c r="E3" i="38"/>
  <c r="E15" i="38"/>
  <c r="A15" i="38"/>
  <c r="A27" i="38"/>
  <c r="E27" i="38"/>
  <c r="E39" i="38"/>
  <c r="A39" i="38"/>
  <c r="A51" i="38"/>
  <c r="E51" i="38"/>
  <c r="A15" i="37"/>
  <c r="A27" i="37"/>
  <c r="E27" i="37"/>
  <c r="E39" i="37"/>
  <c r="A39" i="37"/>
  <c r="A51" i="37"/>
  <c r="E51" i="37"/>
  <c r="E15" i="37"/>
  <c r="E3" i="37"/>
  <c r="A3" i="37"/>
  <c r="E51" i="36"/>
  <c r="A51" i="36"/>
  <c r="E39" i="36"/>
  <c r="A39" i="36"/>
  <c r="A27" i="36"/>
  <c r="E27" i="36"/>
  <c r="E15" i="36"/>
  <c r="A15" i="36"/>
  <c r="E3" i="36"/>
  <c r="A3" i="36"/>
  <c r="C9" i="47" l="1"/>
  <c r="G45" i="47" s="1"/>
  <c r="C8" i="47"/>
  <c r="G44" i="47" s="1"/>
  <c r="C7" i="47"/>
  <c r="G43" i="47" s="1"/>
  <c r="C6" i="47"/>
  <c r="G42" i="47" s="1"/>
  <c r="C5" i="47"/>
  <c r="G53" i="47" s="1"/>
  <c r="C4" i="47"/>
  <c r="G40" i="47" s="1"/>
  <c r="C1" i="47"/>
  <c r="G1" i="47" s="1"/>
  <c r="B1" i="47"/>
  <c r="F1" i="47" s="1"/>
  <c r="A1" i="47"/>
  <c r="E1" i="47" s="1"/>
  <c r="C58" i="46"/>
  <c r="C9" i="46"/>
  <c r="G9" i="46" s="1"/>
  <c r="C8" i="46"/>
  <c r="C32" i="46" s="1"/>
  <c r="C7" i="46"/>
  <c r="C43" i="46" s="1"/>
  <c r="C6" i="46"/>
  <c r="C54" i="46" s="1"/>
  <c r="C5" i="46"/>
  <c r="C17" i="46" s="1"/>
  <c r="C4" i="46"/>
  <c r="C52" i="46" s="1"/>
  <c r="C1" i="46"/>
  <c r="C25" i="46" s="1"/>
  <c r="G49" i="46" s="1"/>
  <c r="B1" i="46"/>
  <c r="B25" i="46" s="1"/>
  <c r="A1" i="46"/>
  <c r="E1" i="46" s="1"/>
  <c r="G46" i="45"/>
  <c r="C9" i="45"/>
  <c r="G21" i="45" s="1"/>
  <c r="C8" i="45"/>
  <c r="G44" i="45" s="1"/>
  <c r="C7" i="45"/>
  <c r="G43" i="45" s="1"/>
  <c r="C6" i="45"/>
  <c r="G42" i="45" s="1"/>
  <c r="C5" i="45"/>
  <c r="G41" i="45" s="1"/>
  <c r="C4" i="45"/>
  <c r="G40" i="45" s="1"/>
  <c r="C1" i="45"/>
  <c r="G1" i="45" s="1"/>
  <c r="B1" i="45"/>
  <c r="B13" i="45" s="1"/>
  <c r="A1" i="45"/>
  <c r="E1" i="45" s="1"/>
  <c r="G46" i="44"/>
  <c r="C9" i="44"/>
  <c r="G57" i="44" s="1"/>
  <c r="C8" i="44"/>
  <c r="G44" i="44" s="1"/>
  <c r="C7" i="44"/>
  <c r="G43" i="44" s="1"/>
  <c r="C6" i="44"/>
  <c r="G42" i="44" s="1"/>
  <c r="C5" i="44"/>
  <c r="G41" i="44" s="1"/>
  <c r="C4" i="44"/>
  <c r="G40" i="44" s="1"/>
  <c r="C1" i="44"/>
  <c r="G25" i="44" s="1"/>
  <c r="B1" i="44"/>
  <c r="F1" i="44" s="1"/>
  <c r="A1" i="44"/>
  <c r="E13" i="44" s="1"/>
  <c r="G46" i="43"/>
  <c r="C9" i="43"/>
  <c r="G57" i="43" s="1"/>
  <c r="C8" i="43"/>
  <c r="G44" i="43" s="1"/>
  <c r="C7" i="43"/>
  <c r="G43" i="43" s="1"/>
  <c r="C6" i="43"/>
  <c r="G42" i="43" s="1"/>
  <c r="C5" i="43"/>
  <c r="G53" i="43" s="1"/>
  <c r="C4" i="43"/>
  <c r="G40" i="43" s="1"/>
  <c r="C1" i="43"/>
  <c r="G25" i="43" s="1"/>
  <c r="B1" i="43"/>
  <c r="F1" i="43" s="1"/>
  <c r="A1" i="43"/>
  <c r="E1" i="43" s="1"/>
  <c r="G46" i="42"/>
  <c r="C9" i="42"/>
  <c r="G45" i="42" s="1"/>
  <c r="C8" i="42"/>
  <c r="G44" i="42" s="1"/>
  <c r="C7" i="42"/>
  <c r="C31" i="42" s="1"/>
  <c r="C6" i="42"/>
  <c r="G42" i="42" s="1"/>
  <c r="C5" i="42"/>
  <c r="G41" i="42" s="1"/>
  <c r="C4" i="42"/>
  <c r="G40" i="42" s="1"/>
  <c r="C1" i="42"/>
  <c r="G1" i="42" s="1"/>
  <c r="B1" i="42"/>
  <c r="B25" i="42" s="1"/>
  <c r="A1" i="42"/>
  <c r="A25" i="42" s="1"/>
  <c r="E37" i="42" s="1"/>
  <c r="G46" i="41"/>
  <c r="C9" i="41"/>
  <c r="G57" i="41" s="1"/>
  <c r="C8" i="41"/>
  <c r="G44" i="41" s="1"/>
  <c r="C7" i="41"/>
  <c r="G55" i="41" s="1"/>
  <c r="C6" i="41"/>
  <c r="G42" i="41" s="1"/>
  <c r="C5" i="41"/>
  <c r="G53" i="41" s="1"/>
  <c r="C4" i="41"/>
  <c r="G40" i="41" s="1"/>
  <c r="C1" i="41"/>
  <c r="G25" i="41" s="1"/>
  <c r="B1" i="41"/>
  <c r="F1" i="41" s="1"/>
  <c r="A1" i="41"/>
  <c r="E1" i="41" s="1"/>
  <c r="G46" i="40"/>
  <c r="C9" i="40"/>
  <c r="G21" i="40" s="1"/>
  <c r="C8" i="40"/>
  <c r="G44" i="40" s="1"/>
  <c r="C7" i="40"/>
  <c r="G55" i="40" s="1"/>
  <c r="C6" i="40"/>
  <c r="G42" i="40" s="1"/>
  <c r="C5" i="40"/>
  <c r="G17" i="40" s="1"/>
  <c r="C4" i="40"/>
  <c r="G40" i="40" s="1"/>
  <c r="C1" i="40"/>
  <c r="G1" i="40" s="1"/>
  <c r="B1" i="40"/>
  <c r="F1" i="40" s="1"/>
  <c r="A1" i="40"/>
  <c r="E1" i="40" s="1"/>
  <c r="G46" i="39"/>
  <c r="C9" i="39"/>
  <c r="G57" i="39" s="1"/>
  <c r="C8" i="39"/>
  <c r="G8" i="39" s="1"/>
  <c r="C7" i="39"/>
  <c r="G55" i="39" s="1"/>
  <c r="C6" i="39"/>
  <c r="G42" i="39" s="1"/>
  <c r="C5" i="39"/>
  <c r="G53" i="39" s="1"/>
  <c r="C4" i="39"/>
  <c r="G40" i="39" s="1"/>
  <c r="C1" i="39"/>
  <c r="G1" i="39" s="1"/>
  <c r="B1" i="39"/>
  <c r="B25" i="39" s="1"/>
  <c r="A1" i="39"/>
  <c r="E1" i="39" s="1"/>
  <c r="G11" i="38"/>
  <c r="G46" i="38"/>
  <c r="C9" i="38"/>
  <c r="G9" i="38" s="1"/>
  <c r="C8" i="38"/>
  <c r="G8" i="38" s="1"/>
  <c r="C6" i="38"/>
  <c r="G42" i="38" s="1"/>
  <c r="C7" i="38"/>
  <c r="G7" i="38" s="1"/>
  <c r="C5" i="38"/>
  <c r="G5" i="38" s="1"/>
  <c r="C4" i="38"/>
  <c r="G4" i="38" s="1"/>
  <c r="C1" i="38"/>
  <c r="G1" i="38" s="1"/>
  <c r="B1" i="38"/>
  <c r="F1" i="38" s="1"/>
  <c r="A1" i="38"/>
  <c r="E13" i="38" s="1"/>
  <c r="G46" i="37"/>
  <c r="C9" i="37"/>
  <c r="G45" i="37" s="1"/>
  <c r="C8" i="37"/>
  <c r="G44" i="37" s="1"/>
  <c r="C7" i="37"/>
  <c r="C55" i="37" s="1"/>
  <c r="C6" i="37"/>
  <c r="G42" i="37" s="1"/>
  <c r="C5" i="37"/>
  <c r="G41" i="37" s="1"/>
  <c r="C1" i="37"/>
  <c r="G1" i="37" s="1"/>
  <c r="C4" i="37"/>
  <c r="G40" i="37" s="1"/>
  <c r="B1" i="37"/>
  <c r="F25" i="37" s="1"/>
  <c r="A1" i="37"/>
  <c r="E1" i="37" s="1"/>
  <c r="G59" i="47"/>
  <c r="C59" i="47"/>
  <c r="G47" i="47"/>
  <c r="C47" i="47"/>
  <c r="G35" i="47"/>
  <c r="C35" i="47"/>
  <c r="G23" i="47"/>
  <c r="C23" i="47"/>
  <c r="G11" i="47"/>
  <c r="G46" i="47"/>
  <c r="G59" i="46"/>
  <c r="C59" i="46"/>
  <c r="G47" i="46"/>
  <c r="C47" i="46"/>
  <c r="G35" i="46"/>
  <c r="C35" i="46"/>
  <c r="G23" i="46"/>
  <c r="C23" i="46"/>
  <c r="G11" i="46"/>
  <c r="G59" i="45"/>
  <c r="C59" i="45"/>
  <c r="G47" i="45"/>
  <c r="C47" i="45"/>
  <c r="G35" i="45"/>
  <c r="C35" i="45"/>
  <c r="G23" i="45"/>
  <c r="C23" i="45"/>
  <c r="G11" i="45"/>
  <c r="G59" i="44"/>
  <c r="C59" i="44"/>
  <c r="G47" i="44"/>
  <c r="C47" i="44"/>
  <c r="G35" i="44"/>
  <c r="C35" i="44"/>
  <c r="G23" i="44"/>
  <c r="C23" i="44"/>
  <c r="G11" i="44"/>
  <c r="G59" i="43"/>
  <c r="C59" i="43"/>
  <c r="G47" i="43"/>
  <c r="C47" i="43"/>
  <c r="G35" i="43"/>
  <c r="C35" i="43"/>
  <c r="G23" i="43"/>
  <c r="C23" i="43"/>
  <c r="G11" i="43"/>
  <c r="G59" i="42"/>
  <c r="C59" i="42"/>
  <c r="G47" i="42"/>
  <c r="C47" i="42"/>
  <c r="G35" i="42"/>
  <c r="C35" i="42"/>
  <c r="G23" i="42"/>
  <c r="C23" i="42"/>
  <c r="G11" i="42"/>
  <c r="G59" i="41"/>
  <c r="C59" i="41"/>
  <c r="G47" i="41"/>
  <c r="C47" i="41"/>
  <c r="G35" i="41"/>
  <c r="C35" i="41"/>
  <c r="G23" i="41"/>
  <c r="C23" i="41"/>
  <c r="G11" i="41"/>
  <c r="G59" i="40"/>
  <c r="C59" i="40"/>
  <c r="G47" i="40"/>
  <c r="C47" i="40"/>
  <c r="G35" i="40"/>
  <c r="C35" i="40"/>
  <c r="G23" i="40"/>
  <c r="C23" i="40"/>
  <c r="G11" i="40"/>
  <c r="G59" i="39"/>
  <c r="C59" i="39"/>
  <c r="G47" i="39"/>
  <c r="C47" i="39"/>
  <c r="G35" i="39"/>
  <c r="C35" i="39"/>
  <c r="G23" i="39"/>
  <c r="C23" i="39"/>
  <c r="G11" i="39"/>
  <c r="G10" i="39"/>
  <c r="G59" i="38"/>
  <c r="C59" i="38"/>
  <c r="G47" i="38"/>
  <c r="C47" i="38"/>
  <c r="G35" i="38"/>
  <c r="C35" i="38"/>
  <c r="G23" i="38"/>
  <c r="C23" i="38"/>
  <c r="G59" i="37"/>
  <c r="C59" i="37"/>
  <c r="G47" i="37"/>
  <c r="C47" i="37"/>
  <c r="G35" i="37"/>
  <c r="C35" i="37"/>
  <c r="G23" i="37"/>
  <c r="C23" i="37"/>
  <c r="G11" i="37"/>
  <c r="G59" i="36"/>
  <c r="C59" i="36"/>
  <c r="G47" i="36"/>
  <c r="C47" i="36"/>
  <c r="G35" i="36"/>
  <c r="C35" i="36"/>
  <c r="G23" i="36"/>
  <c r="C23" i="36"/>
  <c r="G11" i="36"/>
  <c r="G1" i="36"/>
  <c r="F1" i="36"/>
  <c r="E1" i="36"/>
  <c r="C9" i="36"/>
  <c r="G33" i="36" s="1"/>
  <c r="C8" i="36"/>
  <c r="C56" i="36" s="1"/>
  <c r="C7" i="36"/>
  <c r="C43" i="36" s="1"/>
  <c r="C6" i="36"/>
  <c r="C54" i="36" s="1"/>
  <c r="C5" i="36"/>
  <c r="C41" i="36" s="1"/>
  <c r="C4" i="36"/>
  <c r="C40" i="36" s="1"/>
  <c r="C1" i="36"/>
  <c r="G13" i="36" s="1"/>
  <c r="B1" i="36"/>
  <c r="B25" i="36" s="1"/>
  <c r="A1" i="36"/>
  <c r="B13" i="44" l="1"/>
  <c r="B25" i="47"/>
  <c r="F37" i="47" s="1"/>
  <c r="B13" i="47"/>
  <c r="G53" i="46"/>
  <c r="C56" i="46"/>
  <c r="G45" i="44"/>
  <c r="G57" i="45"/>
  <c r="B13" i="40"/>
  <c r="G53" i="45"/>
  <c r="G17" i="45"/>
  <c r="E13" i="39"/>
  <c r="G57" i="42"/>
  <c r="C33" i="42"/>
  <c r="G17" i="42"/>
  <c r="G4" i="39"/>
  <c r="G55" i="38"/>
  <c r="C53" i="37"/>
  <c r="E25" i="36"/>
  <c r="E13" i="36"/>
  <c r="B25" i="37"/>
  <c r="B37" i="37" s="1"/>
  <c r="G44" i="38"/>
  <c r="G41" i="41"/>
  <c r="E25" i="42"/>
  <c r="G55" i="43"/>
  <c r="E13" i="45"/>
  <c r="E25" i="45"/>
  <c r="G45" i="45"/>
  <c r="E13" i="42"/>
  <c r="G53" i="42"/>
  <c r="G21" i="44"/>
  <c r="E13" i="41"/>
  <c r="G17" i="41"/>
  <c r="E25" i="41"/>
  <c r="G45" i="41"/>
  <c r="B13" i="42"/>
  <c r="G55" i="47"/>
  <c r="G19" i="47"/>
  <c r="G21" i="41"/>
  <c r="F25" i="42"/>
  <c r="C41" i="46"/>
  <c r="F1" i="42"/>
  <c r="G6" i="39"/>
  <c r="E13" i="40"/>
  <c r="G19" i="38"/>
  <c r="G41" i="43"/>
  <c r="G40" i="38"/>
  <c r="G43" i="38"/>
  <c r="G57" i="37"/>
  <c r="G21" i="37"/>
  <c r="C33" i="37"/>
  <c r="G57" i="40"/>
  <c r="B13" i="41"/>
  <c r="G25" i="42"/>
  <c r="G43" i="42"/>
  <c r="G53" i="37"/>
  <c r="C57" i="37"/>
  <c r="G53" i="40"/>
  <c r="B25" i="41"/>
  <c r="B49" i="41" s="1"/>
  <c r="C34" i="46"/>
  <c r="G17" i="37"/>
  <c r="C29" i="37"/>
  <c r="G25" i="39"/>
  <c r="G55" i="42"/>
  <c r="B13" i="43"/>
  <c r="G55" i="44"/>
  <c r="G19" i="44"/>
  <c r="G5" i="46"/>
  <c r="C45" i="46"/>
  <c r="G1" i="44"/>
  <c r="G57" i="46"/>
  <c r="C21" i="46"/>
  <c r="G44" i="39"/>
  <c r="G10" i="38"/>
  <c r="G1" i="46"/>
  <c r="F1" i="39"/>
  <c r="E25" i="37"/>
  <c r="B13" i="38"/>
  <c r="G25" i="40"/>
  <c r="G19" i="41"/>
  <c r="G43" i="41"/>
  <c r="C29" i="42"/>
  <c r="C57" i="42"/>
  <c r="G21" i="43"/>
  <c r="B25" i="44"/>
  <c r="B37" i="44" s="1"/>
  <c r="E25" i="44"/>
  <c r="C30" i="46"/>
  <c r="G25" i="37"/>
  <c r="G1" i="43"/>
  <c r="E1" i="44"/>
  <c r="G1" i="41"/>
  <c r="G45" i="43"/>
  <c r="G46" i="46"/>
  <c r="E13" i="37"/>
  <c r="A25" i="37"/>
  <c r="E37" i="37" s="1"/>
  <c r="B25" i="38"/>
  <c r="F49" i="38" s="1"/>
  <c r="G21" i="42"/>
  <c r="C53" i="42"/>
  <c r="B25" i="43"/>
  <c r="F49" i="43" s="1"/>
  <c r="G17" i="43"/>
  <c r="G53" i="44"/>
  <c r="G17" i="44"/>
  <c r="G42" i="46"/>
  <c r="F1" i="46"/>
  <c r="G22" i="36"/>
  <c r="G19" i="37"/>
  <c r="C31" i="37"/>
  <c r="G25" i="38"/>
  <c r="G17" i="38"/>
  <c r="G41" i="38"/>
  <c r="C55" i="42"/>
  <c r="E13" i="43"/>
  <c r="G19" i="43"/>
  <c r="E25" i="43"/>
  <c r="G44" i="46"/>
  <c r="G25" i="47"/>
  <c r="E1" i="42"/>
  <c r="F1" i="45"/>
  <c r="E1" i="38"/>
  <c r="C22" i="36"/>
  <c r="G55" i="37"/>
  <c r="G43" i="37"/>
  <c r="G57" i="38"/>
  <c r="E25" i="38"/>
  <c r="G6" i="38"/>
  <c r="F1" i="37"/>
  <c r="B13" i="37"/>
  <c r="G53" i="38"/>
  <c r="G21" i="38"/>
  <c r="G45" i="38"/>
  <c r="B25" i="40"/>
  <c r="B49" i="40" s="1"/>
  <c r="G19" i="42"/>
  <c r="B25" i="45"/>
  <c r="F49" i="45" s="1"/>
  <c r="G41" i="47"/>
  <c r="C13" i="36"/>
  <c r="G32" i="36"/>
  <c r="C44" i="36"/>
  <c r="C20" i="36"/>
  <c r="C33" i="36"/>
  <c r="G53" i="36"/>
  <c r="G5" i="36"/>
  <c r="C21" i="36"/>
  <c r="C45" i="36"/>
  <c r="G44" i="36"/>
  <c r="C53" i="36"/>
  <c r="G56" i="36"/>
  <c r="G21" i="36"/>
  <c r="G9" i="36"/>
  <c r="C17" i="36"/>
  <c r="G20" i="36"/>
  <c r="C32" i="36"/>
  <c r="G29" i="36"/>
  <c r="C57" i="36"/>
  <c r="F13" i="36"/>
  <c r="G8" i="36"/>
  <c r="G17" i="36"/>
  <c r="C29" i="36"/>
  <c r="G45" i="36"/>
  <c r="G57" i="36"/>
  <c r="F25" i="36"/>
  <c r="G25" i="45"/>
  <c r="G55" i="45"/>
  <c r="G7" i="46"/>
  <c r="C28" i="46"/>
  <c r="G17" i="47"/>
  <c r="G25" i="46"/>
  <c r="G19" i="45"/>
  <c r="G40" i="46"/>
  <c r="G55" i="46"/>
  <c r="C19" i="46"/>
  <c r="G21" i="47"/>
  <c r="G57" i="47"/>
  <c r="E13" i="47"/>
  <c r="E25" i="47"/>
  <c r="E13" i="46"/>
  <c r="A13" i="46"/>
  <c r="E49" i="42"/>
  <c r="G19" i="40"/>
  <c r="B49" i="47"/>
  <c r="G13" i="47"/>
  <c r="G28" i="47"/>
  <c r="G52" i="47"/>
  <c r="G58" i="47"/>
  <c r="G5" i="47"/>
  <c r="G7" i="47"/>
  <c r="G9" i="47"/>
  <c r="A13" i="47"/>
  <c r="F13" i="47"/>
  <c r="C17" i="47"/>
  <c r="C19" i="47"/>
  <c r="C21" i="47"/>
  <c r="C25" i="47"/>
  <c r="C28" i="47"/>
  <c r="C30" i="47"/>
  <c r="C32" i="47"/>
  <c r="C34" i="47"/>
  <c r="C41" i="47"/>
  <c r="C43" i="47"/>
  <c r="C45" i="47"/>
  <c r="C52" i="47"/>
  <c r="C54" i="47"/>
  <c r="C56" i="47"/>
  <c r="C58" i="47"/>
  <c r="G30" i="47"/>
  <c r="G34" i="47"/>
  <c r="G56" i="47"/>
  <c r="G4" i="47"/>
  <c r="G6" i="47"/>
  <c r="G8" i="47"/>
  <c r="G10" i="47"/>
  <c r="C13" i="47"/>
  <c r="C16" i="47"/>
  <c r="C18" i="47"/>
  <c r="C20" i="47"/>
  <c r="C22" i="47"/>
  <c r="A25" i="47"/>
  <c r="F25" i="47"/>
  <c r="C29" i="47"/>
  <c r="C31" i="47"/>
  <c r="C33" i="47"/>
  <c r="C40" i="47"/>
  <c r="C42" i="47"/>
  <c r="C44" i="47"/>
  <c r="C46" i="47"/>
  <c r="C53" i="47"/>
  <c r="C55" i="47"/>
  <c r="C57" i="47"/>
  <c r="G32" i="47"/>
  <c r="G54" i="47"/>
  <c r="G16" i="47"/>
  <c r="G18" i="47"/>
  <c r="G20" i="47"/>
  <c r="G22" i="47"/>
  <c r="G29" i="47"/>
  <c r="G31" i="47"/>
  <c r="G33" i="47"/>
  <c r="B49" i="46"/>
  <c r="F37" i="46"/>
  <c r="F49" i="46"/>
  <c r="B37" i="46"/>
  <c r="F13" i="46"/>
  <c r="C49" i="46"/>
  <c r="B13" i="46"/>
  <c r="G13" i="46"/>
  <c r="G17" i="46"/>
  <c r="G19" i="46"/>
  <c r="G21" i="46"/>
  <c r="E25" i="46"/>
  <c r="G28" i="46"/>
  <c r="G30" i="46"/>
  <c r="G32" i="46"/>
  <c r="G34" i="46"/>
  <c r="G37" i="46"/>
  <c r="G41" i="46"/>
  <c r="G43" i="46"/>
  <c r="G45" i="46"/>
  <c r="G52" i="46"/>
  <c r="G54" i="46"/>
  <c r="G56" i="46"/>
  <c r="G58" i="46"/>
  <c r="G4" i="46"/>
  <c r="G6" i="46"/>
  <c r="G8" i="46"/>
  <c r="G10" i="46"/>
  <c r="C13" i="46"/>
  <c r="C16" i="46"/>
  <c r="C18" i="46"/>
  <c r="C20" i="46"/>
  <c r="C22" i="46"/>
  <c r="A25" i="46"/>
  <c r="F25" i="46"/>
  <c r="C29" i="46"/>
  <c r="C31" i="46"/>
  <c r="C33" i="46"/>
  <c r="C37" i="46"/>
  <c r="C40" i="46"/>
  <c r="C42" i="46"/>
  <c r="C44" i="46"/>
  <c r="C46" i="46"/>
  <c r="C53" i="46"/>
  <c r="C55" i="46"/>
  <c r="C57" i="46"/>
  <c r="G16" i="46"/>
  <c r="G18" i="46"/>
  <c r="G20" i="46"/>
  <c r="G22" i="46"/>
  <c r="G29" i="46"/>
  <c r="G31" i="46"/>
  <c r="G33" i="46"/>
  <c r="G13" i="45"/>
  <c r="G28" i="45"/>
  <c r="G30" i="45"/>
  <c r="G34" i="45"/>
  <c r="G58" i="45"/>
  <c r="G5" i="45"/>
  <c r="G7" i="45"/>
  <c r="G9" i="45"/>
  <c r="A13" i="45"/>
  <c r="F13" i="45"/>
  <c r="C17" i="45"/>
  <c r="C19" i="45"/>
  <c r="C21" i="45"/>
  <c r="C25" i="45"/>
  <c r="C28" i="45"/>
  <c r="C30" i="45"/>
  <c r="C32" i="45"/>
  <c r="C34" i="45"/>
  <c r="C41" i="45"/>
  <c r="C43" i="45"/>
  <c r="C45" i="45"/>
  <c r="C52" i="45"/>
  <c r="C54" i="45"/>
  <c r="C56" i="45"/>
  <c r="C58" i="45"/>
  <c r="G56" i="45"/>
  <c r="G4" i="45"/>
  <c r="G6" i="45"/>
  <c r="G8" i="45"/>
  <c r="G10" i="45"/>
  <c r="C13" i="45"/>
  <c r="C16" i="45"/>
  <c r="C18" i="45"/>
  <c r="C20" i="45"/>
  <c r="C22" i="45"/>
  <c r="A25" i="45"/>
  <c r="F25" i="45"/>
  <c r="C29" i="45"/>
  <c r="C31" i="45"/>
  <c r="C33" i="45"/>
  <c r="C40" i="45"/>
  <c r="C42" i="45"/>
  <c r="C44" i="45"/>
  <c r="C46" i="45"/>
  <c r="C53" i="45"/>
  <c r="C55" i="45"/>
  <c r="C57" i="45"/>
  <c r="G32" i="45"/>
  <c r="G52" i="45"/>
  <c r="G54" i="45"/>
  <c r="G16" i="45"/>
  <c r="G18" i="45"/>
  <c r="G20" i="45"/>
  <c r="G22" i="45"/>
  <c r="G29" i="45"/>
  <c r="G31" i="45"/>
  <c r="G33" i="45"/>
  <c r="G13" i="44"/>
  <c r="G28" i="44"/>
  <c r="G32" i="44"/>
  <c r="G56" i="44"/>
  <c r="G5" i="44"/>
  <c r="G7" i="44"/>
  <c r="G9" i="44"/>
  <c r="A13" i="44"/>
  <c r="F13" i="44"/>
  <c r="C17" i="44"/>
  <c r="C19" i="44"/>
  <c r="C21" i="44"/>
  <c r="C25" i="44"/>
  <c r="C28" i="44"/>
  <c r="C30" i="44"/>
  <c r="C32" i="44"/>
  <c r="C34" i="44"/>
  <c r="C41" i="44"/>
  <c r="C43" i="44"/>
  <c r="C45" i="44"/>
  <c r="C52" i="44"/>
  <c r="C54" i="44"/>
  <c r="C56" i="44"/>
  <c r="C58" i="44"/>
  <c r="G58" i="44"/>
  <c r="G4" i="44"/>
  <c r="G6" i="44"/>
  <c r="G8" i="44"/>
  <c r="G10" i="44"/>
  <c r="C13" i="44"/>
  <c r="C16" i="44"/>
  <c r="C18" i="44"/>
  <c r="C20" i="44"/>
  <c r="C22" i="44"/>
  <c r="A25" i="44"/>
  <c r="F25" i="44"/>
  <c r="C29" i="44"/>
  <c r="C31" i="44"/>
  <c r="C33" i="44"/>
  <c r="C40" i="44"/>
  <c r="C42" i="44"/>
  <c r="C44" i="44"/>
  <c r="C46" i="44"/>
  <c r="C53" i="44"/>
  <c r="C55" i="44"/>
  <c r="C57" i="44"/>
  <c r="G30" i="44"/>
  <c r="G34" i="44"/>
  <c r="G52" i="44"/>
  <c r="G54" i="44"/>
  <c r="G16" i="44"/>
  <c r="G18" i="44"/>
  <c r="G20" i="44"/>
  <c r="G22" i="44"/>
  <c r="G29" i="44"/>
  <c r="G31" i="44"/>
  <c r="G33" i="44"/>
  <c r="G13" i="43"/>
  <c r="G28" i="43"/>
  <c r="G32" i="43"/>
  <c r="G56" i="43"/>
  <c r="G5" i="43"/>
  <c r="G7" i="43"/>
  <c r="G9" i="43"/>
  <c r="A13" i="43"/>
  <c r="F13" i="43"/>
  <c r="C17" i="43"/>
  <c r="C19" i="43"/>
  <c r="C21" i="43"/>
  <c r="C25" i="43"/>
  <c r="C28" i="43"/>
  <c r="C30" i="43"/>
  <c r="C32" i="43"/>
  <c r="C34" i="43"/>
  <c r="C41" i="43"/>
  <c r="C43" i="43"/>
  <c r="C45" i="43"/>
  <c r="C52" i="43"/>
  <c r="C54" i="43"/>
  <c r="C56" i="43"/>
  <c r="C58" i="43"/>
  <c r="G58" i="43"/>
  <c r="G4" i="43"/>
  <c r="G6" i="43"/>
  <c r="G8" i="43"/>
  <c r="G10" i="43"/>
  <c r="C13" i="43"/>
  <c r="C16" i="43"/>
  <c r="C18" i="43"/>
  <c r="C20" i="43"/>
  <c r="C22" i="43"/>
  <c r="A25" i="43"/>
  <c r="F25" i="43"/>
  <c r="C29" i="43"/>
  <c r="C31" i="43"/>
  <c r="C33" i="43"/>
  <c r="C40" i="43"/>
  <c r="C42" i="43"/>
  <c r="C44" i="43"/>
  <c r="C46" i="43"/>
  <c r="C53" i="43"/>
  <c r="C55" i="43"/>
  <c r="C57" i="43"/>
  <c r="G30" i="43"/>
  <c r="G34" i="43"/>
  <c r="G52" i="43"/>
  <c r="G54" i="43"/>
  <c r="G16" i="43"/>
  <c r="G18" i="43"/>
  <c r="G20" i="43"/>
  <c r="G22" i="43"/>
  <c r="G29" i="43"/>
  <c r="G31" i="43"/>
  <c r="G33" i="43"/>
  <c r="B49" i="42"/>
  <c r="F49" i="42"/>
  <c r="F37" i="42"/>
  <c r="B37" i="42"/>
  <c r="G30" i="42"/>
  <c r="G32" i="42"/>
  <c r="G54" i="42"/>
  <c r="G56" i="42"/>
  <c r="G4" i="42"/>
  <c r="G8" i="42"/>
  <c r="C13" i="42"/>
  <c r="C20" i="42"/>
  <c r="C22" i="42"/>
  <c r="C42" i="42"/>
  <c r="C46" i="42"/>
  <c r="G5" i="42"/>
  <c r="G7" i="42"/>
  <c r="G9" i="42"/>
  <c r="A13" i="42"/>
  <c r="F13" i="42"/>
  <c r="C17" i="42"/>
  <c r="C19" i="42"/>
  <c r="C21" i="42"/>
  <c r="C25" i="42"/>
  <c r="C28" i="42"/>
  <c r="C30" i="42"/>
  <c r="C32" i="42"/>
  <c r="C34" i="42"/>
  <c r="A37" i="42"/>
  <c r="C41" i="42"/>
  <c r="C43" i="42"/>
  <c r="C45" i="42"/>
  <c r="C52" i="42"/>
  <c r="C54" i="42"/>
  <c r="C56" i="42"/>
  <c r="C58" i="42"/>
  <c r="G13" i="42"/>
  <c r="G28" i="42"/>
  <c r="G34" i="42"/>
  <c r="G52" i="42"/>
  <c r="G58" i="42"/>
  <c r="G6" i="42"/>
  <c r="G10" i="42"/>
  <c r="C16" i="42"/>
  <c r="C18" i="42"/>
  <c r="C40" i="42"/>
  <c r="C44" i="42"/>
  <c r="A49" i="42"/>
  <c r="G16" i="42"/>
  <c r="G18" i="42"/>
  <c r="G20" i="42"/>
  <c r="G22" i="42"/>
  <c r="G29" i="42"/>
  <c r="G31" i="42"/>
  <c r="G33" i="42"/>
  <c r="G30" i="41"/>
  <c r="G34" i="41"/>
  <c r="G56" i="41"/>
  <c r="G5" i="41"/>
  <c r="G7" i="41"/>
  <c r="G9" i="41"/>
  <c r="A13" i="41"/>
  <c r="F13" i="41"/>
  <c r="C17" i="41"/>
  <c r="C19" i="41"/>
  <c r="C21" i="41"/>
  <c r="C25" i="41"/>
  <c r="C28" i="41"/>
  <c r="C30" i="41"/>
  <c r="C32" i="41"/>
  <c r="C34" i="41"/>
  <c r="C41" i="41"/>
  <c r="C43" i="41"/>
  <c r="C45" i="41"/>
  <c r="C52" i="41"/>
  <c r="C54" i="41"/>
  <c r="C56" i="41"/>
  <c r="C58" i="41"/>
  <c r="G52" i="41"/>
  <c r="G58" i="41"/>
  <c r="G4" i="41"/>
  <c r="G6" i="41"/>
  <c r="G8" i="41"/>
  <c r="G10" i="41"/>
  <c r="C13" i="41"/>
  <c r="C16" i="41"/>
  <c r="C18" i="41"/>
  <c r="C20" i="41"/>
  <c r="C22" i="41"/>
  <c r="A25" i="41"/>
  <c r="F25" i="41"/>
  <c r="C29" i="41"/>
  <c r="C31" i="41"/>
  <c r="C33" i="41"/>
  <c r="C40" i="41"/>
  <c r="C42" i="41"/>
  <c r="C44" i="41"/>
  <c r="C46" i="41"/>
  <c r="C53" i="41"/>
  <c r="C55" i="41"/>
  <c r="C57" i="41"/>
  <c r="G13" i="41"/>
  <c r="G28" i="41"/>
  <c r="G32" i="41"/>
  <c r="G54" i="41"/>
  <c r="G16" i="41"/>
  <c r="G18" i="41"/>
  <c r="G20" i="41"/>
  <c r="G22" i="41"/>
  <c r="G29" i="41"/>
  <c r="G31" i="41"/>
  <c r="G33" i="41"/>
  <c r="G5" i="40"/>
  <c r="G7" i="40"/>
  <c r="G9" i="40"/>
  <c r="A13" i="40"/>
  <c r="F13" i="40"/>
  <c r="C17" i="40"/>
  <c r="C19" i="40"/>
  <c r="C21" i="40"/>
  <c r="C25" i="40"/>
  <c r="C28" i="40"/>
  <c r="C30" i="40"/>
  <c r="C32" i="40"/>
  <c r="C34" i="40"/>
  <c r="C41" i="40"/>
  <c r="C43" i="40"/>
  <c r="C45" i="40"/>
  <c r="C52" i="40"/>
  <c r="C54" i="40"/>
  <c r="C56" i="40"/>
  <c r="C58" i="40"/>
  <c r="G13" i="40"/>
  <c r="E25" i="40"/>
  <c r="G28" i="40"/>
  <c r="G30" i="40"/>
  <c r="G32" i="40"/>
  <c r="G34" i="40"/>
  <c r="G41" i="40"/>
  <c r="G43" i="40"/>
  <c r="G45" i="40"/>
  <c r="G52" i="40"/>
  <c r="G54" i="40"/>
  <c r="G56" i="40"/>
  <c r="G58" i="40"/>
  <c r="G4" i="40"/>
  <c r="G6" i="40"/>
  <c r="G8" i="40"/>
  <c r="G10" i="40"/>
  <c r="C13" i="40"/>
  <c r="C16" i="40"/>
  <c r="C18" i="40"/>
  <c r="C20" i="40"/>
  <c r="C22" i="40"/>
  <c r="A25" i="40"/>
  <c r="F25" i="40"/>
  <c r="C29" i="40"/>
  <c r="C31" i="40"/>
  <c r="C33" i="40"/>
  <c r="C40" i="40"/>
  <c r="C42" i="40"/>
  <c r="C44" i="40"/>
  <c r="C46" i="40"/>
  <c r="C53" i="40"/>
  <c r="C55" i="40"/>
  <c r="C57" i="40"/>
  <c r="G16" i="40"/>
  <c r="G18" i="40"/>
  <c r="G20" i="40"/>
  <c r="G22" i="40"/>
  <c r="G29" i="40"/>
  <c r="G31" i="40"/>
  <c r="G33" i="40"/>
  <c r="B49" i="39"/>
  <c r="F49" i="39"/>
  <c r="B37" i="39"/>
  <c r="F37" i="39"/>
  <c r="G5" i="39"/>
  <c r="G7" i="39"/>
  <c r="G9" i="39"/>
  <c r="A13" i="39"/>
  <c r="F13" i="39"/>
  <c r="C17" i="39"/>
  <c r="C19" i="39"/>
  <c r="C21" i="39"/>
  <c r="C25" i="39"/>
  <c r="C28" i="39"/>
  <c r="C30" i="39"/>
  <c r="C32" i="39"/>
  <c r="C34" i="39"/>
  <c r="C41" i="39"/>
  <c r="C43" i="39"/>
  <c r="C45" i="39"/>
  <c r="C52" i="39"/>
  <c r="C54" i="39"/>
  <c r="C56" i="39"/>
  <c r="C58" i="39"/>
  <c r="B13" i="39"/>
  <c r="G13" i="39"/>
  <c r="G17" i="39"/>
  <c r="G19" i="39"/>
  <c r="G21" i="39"/>
  <c r="E25" i="39"/>
  <c r="G28" i="39"/>
  <c r="G30" i="39"/>
  <c r="G32" i="39"/>
  <c r="G34" i="39"/>
  <c r="G41" i="39"/>
  <c r="G43" i="39"/>
  <c r="G45" i="39"/>
  <c r="G52" i="39"/>
  <c r="G54" i="39"/>
  <c r="G56" i="39"/>
  <c r="G58" i="39"/>
  <c r="C13" i="39"/>
  <c r="C16" i="39"/>
  <c r="C18" i="39"/>
  <c r="C20" i="39"/>
  <c r="C22" i="39"/>
  <c r="A25" i="39"/>
  <c r="F25" i="39"/>
  <c r="C29" i="39"/>
  <c r="C31" i="39"/>
  <c r="C33" i="39"/>
  <c r="C40" i="39"/>
  <c r="C42" i="39"/>
  <c r="C44" i="39"/>
  <c r="C46" i="39"/>
  <c r="C53" i="39"/>
  <c r="C55" i="39"/>
  <c r="C57" i="39"/>
  <c r="G16" i="39"/>
  <c r="G18" i="39"/>
  <c r="G20" i="39"/>
  <c r="G22" i="39"/>
  <c r="G29" i="39"/>
  <c r="G31" i="39"/>
  <c r="G33" i="39"/>
  <c r="G13" i="38"/>
  <c r="G30" i="38"/>
  <c r="G34" i="38"/>
  <c r="G52" i="38"/>
  <c r="G58" i="38"/>
  <c r="A13" i="38"/>
  <c r="F13" i="38"/>
  <c r="C17" i="38"/>
  <c r="C19" i="38"/>
  <c r="C21" i="38"/>
  <c r="C25" i="38"/>
  <c r="C28" i="38"/>
  <c r="C30" i="38"/>
  <c r="C32" i="38"/>
  <c r="C34" i="38"/>
  <c r="C41" i="38"/>
  <c r="C43" i="38"/>
  <c r="C45" i="38"/>
  <c r="C52" i="38"/>
  <c r="C54" i="38"/>
  <c r="C56" i="38"/>
  <c r="C58" i="38"/>
  <c r="G56" i="38"/>
  <c r="C13" i="38"/>
  <c r="C16" i="38"/>
  <c r="C18" i="38"/>
  <c r="C20" i="38"/>
  <c r="C22" i="38"/>
  <c r="A25" i="38"/>
  <c r="F25" i="38"/>
  <c r="C29" i="38"/>
  <c r="C31" i="38"/>
  <c r="C33" i="38"/>
  <c r="C40" i="38"/>
  <c r="C42" i="38"/>
  <c r="C44" i="38"/>
  <c r="C46" i="38"/>
  <c r="C53" i="38"/>
  <c r="C55" i="38"/>
  <c r="C57" i="38"/>
  <c r="G28" i="38"/>
  <c r="G32" i="38"/>
  <c r="G54" i="38"/>
  <c r="G16" i="38"/>
  <c r="G18" i="38"/>
  <c r="G20" i="38"/>
  <c r="G22" i="38"/>
  <c r="G29" i="38"/>
  <c r="G31" i="38"/>
  <c r="G33" i="38"/>
  <c r="G4" i="37"/>
  <c r="G8" i="37"/>
  <c r="C13" i="37"/>
  <c r="C18" i="37"/>
  <c r="C22" i="37"/>
  <c r="G5" i="37"/>
  <c r="G7" i="37"/>
  <c r="G9" i="37"/>
  <c r="A13" i="37"/>
  <c r="F13" i="37"/>
  <c r="C17" i="37"/>
  <c r="C19" i="37"/>
  <c r="C21" i="37"/>
  <c r="C25" i="37"/>
  <c r="C28" i="37"/>
  <c r="C30" i="37"/>
  <c r="C32" i="37"/>
  <c r="C34" i="37"/>
  <c r="C41" i="37"/>
  <c r="C43" i="37"/>
  <c r="C45" i="37"/>
  <c r="C52" i="37"/>
  <c r="C54" i="37"/>
  <c r="C56" i="37"/>
  <c r="C58" i="37"/>
  <c r="G13" i="37"/>
  <c r="G28" i="37"/>
  <c r="G30" i="37"/>
  <c r="G32" i="37"/>
  <c r="G34" i="37"/>
  <c r="G52" i="37"/>
  <c r="G54" i="37"/>
  <c r="G56" i="37"/>
  <c r="G58" i="37"/>
  <c r="G6" i="37"/>
  <c r="G10" i="37"/>
  <c r="C16" i="37"/>
  <c r="C20" i="37"/>
  <c r="C40" i="37"/>
  <c r="C42" i="37"/>
  <c r="C44" i="37"/>
  <c r="C46" i="37"/>
  <c r="G16" i="37"/>
  <c r="G18" i="37"/>
  <c r="G20" i="37"/>
  <c r="G22" i="37"/>
  <c r="G29" i="37"/>
  <c r="G31" i="37"/>
  <c r="G33" i="37"/>
  <c r="G10" i="36"/>
  <c r="G31" i="36"/>
  <c r="G55" i="36"/>
  <c r="G43" i="36"/>
  <c r="C19" i="36"/>
  <c r="C31" i="36"/>
  <c r="C55" i="36"/>
  <c r="G7" i="36"/>
  <c r="G19" i="36"/>
  <c r="G41" i="36"/>
  <c r="G18" i="36"/>
  <c r="G54" i="36"/>
  <c r="G6" i="36"/>
  <c r="C18" i="36"/>
  <c r="G30" i="36"/>
  <c r="G42" i="36"/>
  <c r="C30" i="36"/>
  <c r="C42" i="36"/>
  <c r="C16" i="36"/>
  <c r="C28" i="36"/>
  <c r="G40" i="36"/>
  <c r="G4" i="36"/>
  <c r="G16" i="36"/>
  <c r="G28" i="36"/>
  <c r="C52" i="36"/>
  <c r="G52" i="36"/>
  <c r="A25" i="36"/>
  <c r="A13" i="36"/>
  <c r="F49" i="36"/>
  <c r="F37" i="36"/>
  <c r="B49" i="36"/>
  <c r="B37" i="36"/>
  <c r="B13" i="36"/>
  <c r="C25" i="36"/>
  <c r="G25" i="36"/>
  <c r="D18" i="35"/>
  <c r="E13" i="35"/>
  <c r="E12" i="35"/>
  <c r="E9" i="35"/>
  <c r="E7" i="35"/>
  <c r="E6" i="35"/>
  <c r="E1" i="35"/>
  <c r="D1" i="35"/>
  <c r="C1" i="35"/>
  <c r="D15" i="35"/>
  <c r="F37" i="41" l="1"/>
  <c r="B37" i="47"/>
  <c r="B49" i="45"/>
  <c r="F49" i="47"/>
  <c r="F37" i="37"/>
  <c r="F37" i="44"/>
  <c r="B49" i="44"/>
  <c r="B49" i="37"/>
  <c r="F49" i="37"/>
  <c r="B37" i="45"/>
  <c r="B37" i="38"/>
  <c r="F37" i="40"/>
  <c r="F49" i="41"/>
  <c r="B37" i="41"/>
  <c r="B49" i="38"/>
  <c r="B37" i="40"/>
  <c r="F37" i="38"/>
  <c r="F49" i="40"/>
  <c r="A49" i="37"/>
  <c r="B37" i="43"/>
  <c r="E49" i="37"/>
  <c r="B49" i="43"/>
  <c r="F49" i="44"/>
  <c r="A37" i="37"/>
  <c r="F37" i="43"/>
  <c r="F37" i="45"/>
  <c r="E37" i="47"/>
  <c r="A49" i="47"/>
  <c r="E49" i="47"/>
  <c r="A37" i="47"/>
  <c r="G49" i="47"/>
  <c r="C37" i="47"/>
  <c r="G37" i="47"/>
  <c r="C49" i="47"/>
  <c r="E37" i="46"/>
  <c r="A37" i="46"/>
  <c r="A49" i="46"/>
  <c r="E49" i="46"/>
  <c r="E37" i="45"/>
  <c r="A49" i="45"/>
  <c r="A37" i="45"/>
  <c r="E49" i="45"/>
  <c r="G49" i="45"/>
  <c r="G37" i="45"/>
  <c r="C37" i="45"/>
  <c r="C49" i="45"/>
  <c r="E37" i="44"/>
  <c r="A49" i="44"/>
  <c r="A37" i="44"/>
  <c r="E49" i="44"/>
  <c r="G49" i="44"/>
  <c r="C37" i="44"/>
  <c r="C49" i="44"/>
  <c r="G37" i="44"/>
  <c r="E37" i="43"/>
  <c r="A49" i="43"/>
  <c r="A37" i="43"/>
  <c r="E49" i="43"/>
  <c r="G49" i="43"/>
  <c r="G37" i="43"/>
  <c r="C37" i="43"/>
  <c r="C49" i="43"/>
  <c r="G49" i="42"/>
  <c r="C49" i="42"/>
  <c r="C37" i="42"/>
  <c r="G37" i="42"/>
  <c r="E37" i="41"/>
  <c r="A49" i="41"/>
  <c r="E49" i="41"/>
  <c r="A37" i="41"/>
  <c r="G49" i="41"/>
  <c r="C37" i="41"/>
  <c r="C49" i="41"/>
  <c r="G37" i="41"/>
  <c r="E37" i="40"/>
  <c r="A49" i="40"/>
  <c r="E49" i="40"/>
  <c r="A37" i="40"/>
  <c r="G49" i="40"/>
  <c r="C37" i="40"/>
  <c r="G37" i="40"/>
  <c r="C49" i="40"/>
  <c r="E37" i="39"/>
  <c r="A49" i="39"/>
  <c r="E49" i="39"/>
  <c r="A37" i="39"/>
  <c r="G49" i="39"/>
  <c r="C37" i="39"/>
  <c r="G37" i="39"/>
  <c r="C49" i="39"/>
  <c r="E37" i="38"/>
  <c r="A49" i="38"/>
  <c r="A37" i="38"/>
  <c r="E49" i="38"/>
  <c r="G49" i="38"/>
  <c r="G37" i="38"/>
  <c r="C37" i="38"/>
  <c r="C49" i="38"/>
  <c r="G49" i="37"/>
  <c r="G37" i="37"/>
  <c r="C49" i="37"/>
  <c r="C37" i="37"/>
  <c r="E49" i="36"/>
  <c r="A49" i="36"/>
  <c r="E37" i="36"/>
  <c r="A37" i="36"/>
  <c r="G37" i="36"/>
  <c r="G49" i="36"/>
  <c r="C49" i="36"/>
  <c r="C37" i="36"/>
  <c r="E13" i="34"/>
  <c r="E13" i="33"/>
  <c r="E13" i="32"/>
  <c r="E13" i="31"/>
  <c r="E13" i="30"/>
  <c r="E13" i="29"/>
  <c r="E13" i="27"/>
  <c r="E13" i="28"/>
  <c r="E13" i="26"/>
  <c r="E13" i="25"/>
  <c r="E13" i="24"/>
  <c r="K1" i="1" l="1"/>
  <c r="T4" i="10" l="1"/>
  <c r="L4" i="10"/>
  <c r="D4" i="10"/>
  <c r="T4" i="9"/>
  <c r="L4" i="9"/>
  <c r="D4" i="9"/>
  <c r="T4" i="8"/>
  <c r="L4" i="8"/>
  <c r="T4" i="7"/>
  <c r="L4" i="7"/>
  <c r="D4" i="7"/>
  <c r="D4" i="8"/>
  <c r="E3" i="8"/>
  <c r="D18" i="34"/>
  <c r="E12" i="34"/>
  <c r="E11" i="34"/>
  <c r="E9" i="34"/>
  <c r="E7" i="34"/>
  <c r="E6" i="34"/>
  <c r="E1" i="34"/>
  <c r="D1" i="34"/>
  <c r="C1" i="34"/>
  <c r="D15" i="34"/>
  <c r="D18" i="33"/>
  <c r="E12" i="33"/>
  <c r="E11" i="33"/>
  <c r="E9" i="33"/>
  <c r="E7" i="33"/>
  <c r="E6" i="33"/>
  <c r="E1" i="33"/>
  <c r="D1" i="33"/>
  <c r="C1" i="33"/>
  <c r="D15" i="33"/>
  <c r="D18" i="32"/>
  <c r="E12" i="32"/>
  <c r="E11" i="32"/>
  <c r="E9" i="32"/>
  <c r="E7" i="32"/>
  <c r="E6" i="32"/>
  <c r="E1" i="32"/>
  <c r="D1" i="32"/>
  <c r="C1" i="32"/>
  <c r="D15" i="32"/>
  <c r="D18" i="31"/>
  <c r="E12" i="31"/>
  <c r="E11" i="31"/>
  <c r="E9" i="31"/>
  <c r="E7" i="31"/>
  <c r="E6" i="31"/>
  <c r="E1" i="31"/>
  <c r="D1" i="31"/>
  <c r="C1" i="31"/>
  <c r="D15" i="31"/>
  <c r="D18" i="30"/>
  <c r="E12" i="30"/>
  <c r="E11" i="30"/>
  <c r="E9" i="30"/>
  <c r="E7" i="30"/>
  <c r="E6" i="30"/>
  <c r="E1" i="30"/>
  <c r="D1" i="30"/>
  <c r="C1" i="30"/>
  <c r="D15" i="30"/>
  <c r="D18" i="29"/>
  <c r="E12" i="29"/>
  <c r="E11" i="29"/>
  <c r="E9" i="29"/>
  <c r="E7" i="29"/>
  <c r="E6" i="29"/>
  <c r="E1" i="29"/>
  <c r="D1" i="29"/>
  <c r="C1" i="29"/>
  <c r="D15" i="29"/>
  <c r="D18" i="27"/>
  <c r="E12" i="27"/>
  <c r="E11" i="27"/>
  <c r="E9" i="27"/>
  <c r="E7" i="27"/>
  <c r="E6" i="27"/>
  <c r="E1" i="27"/>
  <c r="C1" i="27"/>
  <c r="D1" i="27"/>
  <c r="D18" i="28"/>
  <c r="E12" i="28"/>
  <c r="E11" i="28"/>
  <c r="E9" i="28"/>
  <c r="E7" i="28"/>
  <c r="E6" i="28"/>
  <c r="E1" i="28"/>
  <c r="D1" i="28"/>
  <c r="C1" i="28"/>
  <c r="E1" i="26"/>
  <c r="D1" i="26"/>
  <c r="C1" i="26"/>
  <c r="D15" i="28"/>
  <c r="D15" i="27"/>
  <c r="D18" i="26"/>
  <c r="E12" i="26"/>
  <c r="E11" i="26"/>
  <c r="E9" i="26"/>
  <c r="E7" i="26"/>
  <c r="E6" i="26"/>
  <c r="D15" i="26"/>
  <c r="D18" i="25"/>
  <c r="D18" i="24"/>
  <c r="E12" i="25" l="1"/>
  <c r="E11" i="25"/>
  <c r="E9" i="25"/>
  <c r="E7" i="25"/>
  <c r="E6" i="25"/>
  <c r="E1" i="25"/>
  <c r="D1" i="25"/>
  <c r="C1" i="25"/>
  <c r="E12" i="24"/>
  <c r="E11" i="24"/>
  <c r="E9" i="24"/>
  <c r="E7" i="24"/>
  <c r="E6" i="24"/>
  <c r="E1" i="24"/>
  <c r="D1" i="24"/>
  <c r="C1" i="24"/>
  <c r="D15" i="25"/>
  <c r="D15" i="24"/>
  <c r="A37" i="11"/>
  <c r="A16" i="11" l="1"/>
  <c r="E3" i="7"/>
  <c r="D11" i="11"/>
  <c r="Q14" i="10" l="1"/>
  <c r="I14" i="10"/>
  <c r="A14" i="10"/>
  <c r="Q14" i="9"/>
  <c r="I14" i="9"/>
  <c r="A14" i="9"/>
  <c r="Q14" i="8"/>
  <c r="I14" i="8"/>
  <c r="A14" i="8"/>
  <c r="Q14" i="7"/>
  <c r="I14" i="7"/>
  <c r="A14" i="7"/>
  <c r="D5" i="7"/>
  <c r="B54" i="5" l="1"/>
  <c r="B53" i="5"/>
  <c r="B52" i="5"/>
  <c r="B51" i="5"/>
  <c r="B50" i="5"/>
  <c r="B49" i="5"/>
  <c r="B48" i="5"/>
  <c r="B47" i="5"/>
  <c r="B46" i="5"/>
  <c r="B45" i="5"/>
  <c r="T5" i="10" l="1"/>
  <c r="U3" i="10"/>
  <c r="L5" i="10"/>
  <c r="M3" i="10"/>
  <c r="D5" i="10"/>
  <c r="E3" i="10"/>
  <c r="T5" i="9"/>
  <c r="U3" i="9"/>
  <c r="L5" i="9"/>
  <c r="M3" i="9"/>
  <c r="D5" i="9"/>
  <c r="E3" i="9"/>
  <c r="U3" i="8"/>
  <c r="M3" i="8"/>
  <c r="D5" i="8"/>
  <c r="T5" i="7"/>
  <c r="L5" i="7"/>
  <c r="U3" i="7"/>
  <c r="M3" i="7"/>
  <c r="B13" i="5" l="1"/>
  <c r="C14" i="5" l="1"/>
  <c r="C13" i="5"/>
  <c r="D14" i="5"/>
  <c r="D13" i="5"/>
  <c r="B14" i="5"/>
  <c r="B16" i="5" l="1"/>
  <c r="D16" i="5"/>
  <c r="C16" i="5"/>
  <c r="C37" i="5"/>
  <c r="C40" i="5" s="1"/>
  <c r="B38" i="5"/>
  <c r="B37" i="5"/>
  <c r="B21" i="5"/>
  <c r="C22" i="5"/>
  <c r="C21" i="5"/>
  <c r="B22" i="5"/>
  <c r="C30" i="5"/>
  <c r="B30" i="5"/>
  <c r="C29" i="5"/>
  <c r="B29" i="5"/>
  <c r="B5" i="5"/>
  <c r="E16" i="5" l="1"/>
  <c r="B40" i="5"/>
  <c r="D40" i="5" s="1"/>
  <c r="B24" i="5"/>
  <c r="B32" i="5"/>
  <c r="C32" i="5"/>
  <c r="C24" i="5"/>
  <c r="D24" i="5" l="1"/>
  <c r="E24" i="5" s="1"/>
  <c r="D32" i="5"/>
  <c r="D6" i="5"/>
  <c r="C6" i="5"/>
  <c r="B6" i="5"/>
  <c r="D5" i="5"/>
  <c r="C5" i="5"/>
  <c r="B8" i="5" l="1"/>
  <c r="C8" i="5"/>
  <c r="D8" i="5"/>
  <c r="E8" i="5" l="1"/>
</calcChain>
</file>

<file path=xl/sharedStrings.xml><?xml version="1.0" encoding="utf-8"?>
<sst xmlns="http://schemas.openxmlformats.org/spreadsheetml/2006/main" count="2045" uniqueCount="517">
  <si>
    <t>Number</t>
  </si>
  <si>
    <t>1-03</t>
  </si>
  <si>
    <t>1-04</t>
  </si>
  <si>
    <t>1-05</t>
  </si>
  <si>
    <t>1-06</t>
  </si>
  <si>
    <t>1-07</t>
  </si>
  <si>
    <t>1-08</t>
  </si>
  <si>
    <t>1-09</t>
  </si>
  <si>
    <t>1-10</t>
  </si>
  <si>
    <t>1-11</t>
  </si>
  <si>
    <t>2-01</t>
  </si>
  <si>
    <t>2-02</t>
  </si>
  <si>
    <t>2-03</t>
  </si>
  <si>
    <t>2-04</t>
  </si>
  <si>
    <t>2-05</t>
  </si>
  <si>
    <t>2-06</t>
  </si>
  <si>
    <t>2-07</t>
  </si>
  <si>
    <t>2-08</t>
  </si>
  <si>
    <t>2-09</t>
  </si>
  <si>
    <t>2-10</t>
  </si>
  <si>
    <t>2-11</t>
  </si>
  <si>
    <t>2-12</t>
  </si>
  <si>
    <t>2-13</t>
  </si>
  <si>
    <t>2-14</t>
  </si>
  <si>
    <t>2-15</t>
  </si>
  <si>
    <t>1-01 Special Accommodation</t>
  </si>
  <si>
    <t>CSRA</t>
  </si>
  <si>
    <t>High Can Share</t>
  </si>
  <si>
    <t>High Risk</t>
  </si>
  <si>
    <t>Standard Risk</t>
  </si>
  <si>
    <t>Smoker</t>
  </si>
  <si>
    <t>Yes</t>
  </si>
  <si>
    <t>No</t>
  </si>
  <si>
    <t>W</t>
  </si>
  <si>
    <t>W1</t>
  </si>
  <si>
    <t>W2</t>
  </si>
  <si>
    <t>W9</t>
  </si>
  <si>
    <t>M1</t>
  </si>
  <si>
    <t>M2</t>
  </si>
  <si>
    <t>M3</t>
  </si>
  <si>
    <t>M9</t>
  </si>
  <si>
    <t>A1</t>
  </si>
  <si>
    <t>A2</t>
  </si>
  <si>
    <t>A3</t>
  </si>
  <si>
    <t>A9</t>
  </si>
  <si>
    <t>B1</t>
  </si>
  <si>
    <t>B2</t>
  </si>
  <si>
    <t>B9</t>
  </si>
  <si>
    <t>01</t>
  </si>
  <si>
    <t>09</t>
  </si>
  <si>
    <t>N/S</t>
  </si>
  <si>
    <t>HB1</t>
  </si>
  <si>
    <t>HB2</t>
  </si>
  <si>
    <t>HB3</t>
  </si>
  <si>
    <t>HB4</t>
  </si>
  <si>
    <t>HB7</t>
  </si>
  <si>
    <t>Fighting</t>
  </si>
  <si>
    <t>Bullying</t>
  </si>
  <si>
    <t>Fermenting Liquid</t>
  </si>
  <si>
    <t>Assault on Prisoner</t>
  </si>
  <si>
    <t>Assault on Staff</t>
  </si>
  <si>
    <t>Damaging Prison Property</t>
  </si>
  <si>
    <t>Health and Saftey</t>
  </si>
  <si>
    <t>YP</t>
  </si>
  <si>
    <t>AD</t>
  </si>
  <si>
    <t>Visits</t>
  </si>
  <si>
    <t>HB6 - A</t>
  </si>
  <si>
    <t>HB6 - B</t>
  </si>
  <si>
    <t>AD/YP</t>
  </si>
  <si>
    <t xml:space="preserve">Today's Date: </t>
  </si>
  <si>
    <t>ACCT</t>
  </si>
  <si>
    <t>Racist</t>
  </si>
  <si>
    <t>Destination Cell</t>
  </si>
  <si>
    <t>1-02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</si>
  <si>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</si>
  <si>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</si>
  <si>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</si>
  <si>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</si>
  <si>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</si>
  <si>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</si>
  <si>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</si>
  <si>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</si>
  <si>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</si>
  <si>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</si>
  <si>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</si>
  <si>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</si>
  <si>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</si>
  <si>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1-23 Out of Order</t>
  </si>
  <si>
    <t>1-24 Care Suite</t>
  </si>
  <si>
    <t>1-01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</si>
  <si>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</si>
  <si>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</si>
  <si>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</si>
  <si>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</si>
  <si>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</si>
  <si>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</si>
  <si>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</si>
  <si>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</si>
  <si>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</si>
  <si>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</si>
  <si>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</si>
  <si>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</si>
  <si>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</si>
  <si>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</si>
  <si>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</si>
  <si>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</si>
  <si>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</si>
  <si>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</si>
  <si>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</si>
  <si>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</si>
  <si>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</si>
  <si>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</si>
  <si>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</si>
  <si>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</si>
  <si>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</si>
  <si>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</si>
  <si>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</si>
  <si>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</si>
  <si>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</si>
  <si>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</si>
  <si>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</si>
  <si>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</si>
  <si>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</si>
  <si>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</si>
  <si>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</si>
  <si>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</si>
  <si>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</si>
  <si>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3-01</t>
  </si>
  <si>
    <t>3-02</t>
  </si>
  <si>
    <t>3-03</t>
  </si>
  <si>
    <t>3-04</t>
  </si>
  <si>
    <t>3-05</t>
  </si>
  <si>
    <t>3-06</t>
  </si>
  <si>
    <t>3-07</t>
  </si>
  <si>
    <t>3-08</t>
  </si>
  <si>
    <t>3-09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</si>
  <si>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</si>
  <si>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</si>
  <si>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</si>
  <si>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</si>
  <si>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</si>
  <si>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</si>
  <si>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</si>
  <si>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</si>
  <si>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</si>
  <si>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</si>
  <si>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</si>
  <si>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</si>
  <si>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</si>
  <si>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</si>
  <si>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</si>
  <si>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</si>
  <si>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</si>
  <si>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</si>
  <si>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</si>
  <si>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</si>
  <si>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</si>
  <si>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</si>
  <si>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</si>
  <si>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</si>
  <si>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</si>
  <si>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</si>
  <si>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</si>
  <si>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</si>
  <si>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</si>
  <si>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</si>
  <si>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</si>
  <si>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</si>
  <si>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</si>
  <si>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</si>
  <si>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</si>
  <si>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</si>
  <si>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</si>
  <si>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</si>
  <si>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</si>
  <si>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</si>
  <si>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</si>
  <si>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</si>
  <si>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</si>
  <si>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</si>
  <si>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</si>
  <si>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</si>
  <si>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</si>
  <si>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</si>
  <si>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</si>
  <si>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</si>
  <si>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</si>
  <si>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</si>
  <si>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</si>
  <si>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</si>
  <si>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</si>
  <si>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</si>
  <si>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</si>
  <si>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</si>
  <si>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</si>
  <si>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</si>
  <si>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</si>
  <si>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</si>
  <si>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</si>
  <si>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</si>
  <si>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</si>
  <si>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</si>
  <si>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</si>
  <si>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</si>
  <si>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</si>
  <si>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</si>
  <si>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</si>
  <si>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</si>
  <si>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</si>
  <si>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</si>
  <si>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</si>
  <si>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</si>
  <si>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</si>
  <si>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</si>
  <si>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</si>
  <si>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</si>
  <si>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</si>
  <si>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</si>
  <si>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</si>
  <si>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</si>
  <si>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</si>
  <si>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</si>
  <si>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</si>
  <si>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</si>
  <si>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</si>
  <si>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</si>
  <si>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</si>
  <si>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</si>
  <si>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</si>
  <si>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</si>
  <si>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</si>
  <si>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Single/Double</t>
  </si>
  <si>
    <t>Single</t>
  </si>
  <si>
    <t>Double</t>
  </si>
  <si>
    <t>HB7 Movements Sheet</t>
  </si>
  <si>
    <t>HB</t>
  </si>
  <si>
    <t>Comments</t>
  </si>
  <si>
    <t>REC</t>
  </si>
  <si>
    <t>Half Double</t>
  </si>
  <si>
    <t>Res1/2</t>
  </si>
  <si>
    <t>Res 1</t>
  </si>
  <si>
    <t>Res 2</t>
  </si>
  <si>
    <t>IEP</t>
  </si>
  <si>
    <t>BSC</t>
  </si>
  <si>
    <t>STD</t>
  </si>
  <si>
    <t>ENH</t>
  </si>
  <si>
    <t>HB5 - A</t>
  </si>
  <si>
    <t>HB5 - B</t>
  </si>
  <si>
    <t>Homophobic</t>
  </si>
  <si>
    <t>High Risk Can Share</t>
  </si>
  <si>
    <t>Total</t>
  </si>
  <si>
    <t>Final Movement Total</t>
  </si>
  <si>
    <t>Smokers</t>
  </si>
  <si>
    <t>Non-Smokers</t>
  </si>
  <si>
    <t>CSRA Errors</t>
  </si>
  <si>
    <t>Adults</t>
  </si>
  <si>
    <t>N/A</t>
  </si>
  <si>
    <t>CSRA Correct</t>
  </si>
  <si>
    <t>CSRA Correct?</t>
  </si>
  <si>
    <t>Open Acct</t>
  </si>
  <si>
    <t>Previous History</t>
  </si>
  <si>
    <t>No Acct</t>
  </si>
  <si>
    <t>Previous Acct</t>
  </si>
  <si>
    <t>Failure Rate</t>
  </si>
  <si>
    <t>HMP/YOI Moorland</t>
  </si>
  <si>
    <r>
      <t>Cell No</t>
    </r>
    <r>
      <rPr>
        <b/>
        <sz val="14"/>
        <color rgb="FFFF0000"/>
        <rFont val="Tahoma"/>
        <family val="2"/>
      </rPr>
      <t xml:space="preserve"> *</t>
    </r>
  </si>
  <si>
    <t>     </t>
  </si>
  <si>
    <r>
      <t xml:space="preserve">Name </t>
    </r>
    <r>
      <rPr>
        <b/>
        <sz val="14"/>
        <color rgb="FFFF0000"/>
        <rFont val="Tahoma"/>
        <family val="2"/>
      </rPr>
      <t>*</t>
    </r>
  </si>
  <si>
    <t>Mr</t>
  </si>
  <si>
    <r>
      <t>First or Preferred</t>
    </r>
    <r>
      <rPr>
        <b/>
        <sz val="12"/>
        <color rgb="FFFF0000"/>
        <rFont val="Tahoma"/>
        <family val="2"/>
      </rPr>
      <t xml:space="preserve">* </t>
    </r>
    <r>
      <rPr>
        <b/>
        <sz val="12"/>
        <color theme="1"/>
        <rFont val="Tahoma"/>
        <family val="2"/>
      </rPr>
      <t>Name</t>
    </r>
  </si>
  <si>
    <r>
      <t xml:space="preserve">Number </t>
    </r>
    <r>
      <rPr>
        <b/>
        <sz val="14"/>
        <color rgb="FFFF0000"/>
        <rFont val="Tahoma"/>
        <family val="2"/>
      </rPr>
      <t>*</t>
    </r>
  </si>
  <si>
    <t>Work AM</t>
  </si>
  <si>
    <t>Work PM</t>
  </si>
  <si>
    <t>Notice to Staff</t>
  </si>
  <si>
    <t>Personal Officers</t>
  </si>
  <si>
    <t>Primary</t>
  </si>
  <si>
    <t>Relief</t>
  </si>
  <si>
    <t>Incentive Level</t>
  </si>
  <si>
    <t>Doncaster</t>
  </si>
  <si>
    <t>Lindholme</t>
  </si>
  <si>
    <t>Humber</t>
  </si>
  <si>
    <t>Leeds</t>
  </si>
  <si>
    <t>TX From</t>
  </si>
  <si>
    <t>Nottingham</t>
  </si>
  <si>
    <t>Lincoln</t>
  </si>
  <si>
    <t>Leicester</t>
  </si>
  <si>
    <t>Deerbolt</t>
  </si>
  <si>
    <t>Court</t>
  </si>
  <si>
    <t>Other</t>
  </si>
  <si>
    <t>Saunders</t>
  </si>
  <si>
    <t>HMP/YOI MOORLAND</t>
  </si>
  <si>
    <t>INDUCTION COMPLETE</t>
  </si>
  <si>
    <t>SMOKER:</t>
  </si>
  <si>
    <t>Surname</t>
  </si>
  <si>
    <t>Forename</t>
  </si>
  <si>
    <t>RACIST</t>
  </si>
  <si>
    <t>HOMOPHOBIC</t>
  </si>
  <si>
    <t xml:space="preserve">Other </t>
  </si>
  <si>
    <t>Arson</t>
  </si>
  <si>
    <t>Kidnap</t>
  </si>
  <si>
    <t>Hostage</t>
  </si>
  <si>
    <t>Sexual Assault Same Sex</t>
  </si>
  <si>
    <t>Murder</t>
  </si>
  <si>
    <t>2x Markers</t>
  </si>
  <si>
    <t>3x Markers</t>
  </si>
  <si>
    <t>OTHER</t>
  </si>
  <si>
    <t>None</t>
  </si>
  <si>
    <t>Reception Date:</t>
  </si>
  <si>
    <t>Nationality</t>
  </si>
  <si>
    <t>White British</t>
  </si>
  <si>
    <t>Black British</t>
  </si>
  <si>
    <t>Polish</t>
  </si>
  <si>
    <t>Russian</t>
  </si>
  <si>
    <t>Czech</t>
  </si>
  <si>
    <t>Chinese</t>
  </si>
  <si>
    <t>French</t>
  </si>
  <si>
    <t>German</t>
  </si>
  <si>
    <t>Indian</t>
  </si>
  <si>
    <t>Pakistani</t>
  </si>
  <si>
    <t>Iranian</t>
  </si>
  <si>
    <t>Afghan</t>
  </si>
  <si>
    <t>Albanian</t>
  </si>
  <si>
    <t>Algerian</t>
  </si>
  <si>
    <t>American</t>
  </si>
  <si>
    <t>Andorran</t>
  </si>
  <si>
    <t>Angolan</t>
  </si>
  <si>
    <t>Antiguans</t>
  </si>
  <si>
    <t>Argentinean</t>
  </si>
  <si>
    <t>Armenian</t>
  </si>
  <si>
    <t>Australian</t>
  </si>
  <si>
    <t>Austrian</t>
  </si>
  <si>
    <t>Azerbaijani</t>
  </si>
  <si>
    <t>Bahamian</t>
  </si>
  <si>
    <t>Bahraini</t>
  </si>
  <si>
    <t>Bangladeshi</t>
  </si>
  <si>
    <t>Barbadian</t>
  </si>
  <si>
    <t>Barbudans</t>
  </si>
  <si>
    <t>Batswana</t>
  </si>
  <si>
    <t>Belarusian</t>
  </si>
  <si>
    <t>Belgian</t>
  </si>
  <si>
    <t>Belizean</t>
  </si>
  <si>
    <t>Beninese</t>
  </si>
  <si>
    <t>Bhutanese</t>
  </si>
  <si>
    <t>Bolivian</t>
  </si>
  <si>
    <t>Bosnian</t>
  </si>
  <si>
    <t>Brazilian</t>
  </si>
  <si>
    <t>Bruneian</t>
  </si>
  <si>
    <t>Bulgarian</t>
  </si>
  <si>
    <t>Burkinabe</t>
  </si>
  <si>
    <t>Burmese</t>
  </si>
  <si>
    <t>Burundian</t>
  </si>
  <si>
    <t>Cambodian</t>
  </si>
  <si>
    <t>Cameroonian</t>
  </si>
  <si>
    <t>Canadian</t>
  </si>
  <si>
    <t>Cape Verdean</t>
  </si>
  <si>
    <t>Central African</t>
  </si>
  <si>
    <t>Chadian</t>
  </si>
  <si>
    <t>Chilean</t>
  </si>
  <si>
    <t>Colombian</t>
  </si>
  <si>
    <t>Comoran</t>
  </si>
  <si>
    <t>Congolese</t>
  </si>
  <si>
    <t>Costa Rican</t>
  </si>
  <si>
    <t>Croatian</t>
  </si>
  <si>
    <t>Cuban</t>
  </si>
  <si>
    <t>Cypriot</t>
  </si>
  <si>
    <t>Danish</t>
  </si>
  <si>
    <t>Djibouti</t>
  </si>
  <si>
    <t>Dominican</t>
  </si>
  <si>
    <t>Dutch</t>
  </si>
  <si>
    <t>Dutchman</t>
  </si>
  <si>
    <t>Dutchwoman</t>
  </si>
  <si>
    <t>East Timorese</t>
  </si>
  <si>
    <t>Ecuadorean</t>
  </si>
  <si>
    <t>Egyptian</t>
  </si>
  <si>
    <t>Emirian</t>
  </si>
  <si>
    <t>Equatorial Guinean</t>
  </si>
  <si>
    <t>Eritrean</t>
  </si>
  <si>
    <t>Estonian</t>
  </si>
  <si>
    <t>Ethiopian</t>
  </si>
  <si>
    <t>Fijian</t>
  </si>
  <si>
    <t>Filipino</t>
  </si>
  <si>
    <t>Finnish</t>
  </si>
  <si>
    <t>Gabonese</t>
  </si>
  <si>
    <t>Gambian</t>
  </si>
  <si>
    <t>Georgian</t>
  </si>
  <si>
    <t>Ghanaian</t>
  </si>
  <si>
    <t>Greek</t>
  </si>
  <si>
    <t>Grenadian</t>
  </si>
  <si>
    <t>Guatemalan</t>
  </si>
  <si>
    <t>Guinea-Bissauan</t>
  </si>
  <si>
    <t>Guinean</t>
  </si>
  <si>
    <t>Guyanese</t>
  </si>
  <si>
    <t>Haitian</t>
  </si>
  <si>
    <t>Herzegovinian</t>
  </si>
  <si>
    <t>Honduran</t>
  </si>
  <si>
    <t>Hungarian</t>
  </si>
  <si>
    <t>I-Kiribati</t>
  </si>
  <si>
    <t>Icelander</t>
  </si>
  <si>
    <t>Indonesian</t>
  </si>
  <si>
    <t>Iraqi</t>
  </si>
  <si>
    <t>Irish</t>
  </si>
  <si>
    <t>Israeli</t>
  </si>
  <si>
    <t>Italian</t>
  </si>
  <si>
    <t>Ivorian</t>
  </si>
  <si>
    <t>Jamaican</t>
  </si>
  <si>
    <t>Japanese</t>
  </si>
  <si>
    <t>Jordanian</t>
  </si>
  <si>
    <t>Kazakhstani</t>
  </si>
  <si>
    <t>Kenyan</t>
  </si>
  <si>
    <t>Kittian and Nevisian</t>
  </si>
  <si>
    <t>Kuwaiti</t>
  </si>
  <si>
    <t>Kyrgyz</t>
  </si>
  <si>
    <t>Laotian</t>
  </si>
  <si>
    <t>Latvian</t>
  </si>
  <si>
    <t>Lebanese</t>
  </si>
  <si>
    <t>Liberian</t>
  </si>
  <si>
    <t>Libyan</t>
  </si>
  <si>
    <t>Liechtensteiner</t>
  </si>
  <si>
    <t>Lithuanian</t>
  </si>
  <si>
    <t>Luxembourger</t>
  </si>
  <si>
    <t>Macedonian</t>
  </si>
  <si>
    <t>Malagasy</t>
  </si>
  <si>
    <t>Malawian</t>
  </si>
  <si>
    <t>Malaysian</t>
  </si>
  <si>
    <t>Maldivan</t>
  </si>
  <si>
    <t>Malian</t>
  </si>
  <si>
    <t>Maltese</t>
  </si>
  <si>
    <t>Marshallese</t>
  </si>
  <si>
    <t>Mauritanian</t>
  </si>
  <si>
    <t>Mauritian</t>
  </si>
  <si>
    <t>Mexican</t>
  </si>
  <si>
    <t>Micronesian</t>
  </si>
  <si>
    <t>Moldovan</t>
  </si>
  <si>
    <t>Monacan</t>
  </si>
  <si>
    <t>Mongolian</t>
  </si>
  <si>
    <t>Moroccan</t>
  </si>
  <si>
    <t>Mosotho</t>
  </si>
  <si>
    <t>Motswana</t>
  </si>
  <si>
    <t>Mozambican</t>
  </si>
  <si>
    <t>Namibian</t>
  </si>
  <si>
    <t>Nauruan</t>
  </si>
  <si>
    <t>Nepalese</t>
  </si>
  <si>
    <t>Netherlander</t>
  </si>
  <si>
    <t>New Zealander</t>
  </si>
  <si>
    <t>Ni-Vanuatu</t>
  </si>
  <si>
    <t>Nicaraguan</t>
  </si>
  <si>
    <t>Nigerian</t>
  </si>
  <si>
    <t>Nigerien</t>
  </si>
  <si>
    <t>North Korean</t>
  </si>
  <si>
    <t>Northern Irish</t>
  </si>
  <si>
    <t>Norwegian</t>
  </si>
  <si>
    <t>Omani</t>
  </si>
  <si>
    <t>Palauan</t>
  </si>
  <si>
    <t>Panamanian</t>
  </si>
  <si>
    <t>Papua New Guinean</t>
  </si>
  <si>
    <t>Paraguayan</t>
  </si>
  <si>
    <t>Peruvian</t>
  </si>
  <si>
    <t>Portuguese</t>
  </si>
  <si>
    <t>Qatari</t>
  </si>
  <si>
    <t>Romanian</t>
  </si>
  <si>
    <t>Rwandan</t>
  </si>
  <si>
    <t>Saint Lucian</t>
  </si>
  <si>
    <t>Salvadoran</t>
  </si>
  <si>
    <t>Samoan</t>
  </si>
  <si>
    <t>San Marinese</t>
  </si>
  <si>
    <t>Sao Tomean</t>
  </si>
  <si>
    <t>Saudi</t>
  </si>
  <si>
    <t>Scottish</t>
  </si>
  <si>
    <t>Senegalese</t>
  </si>
  <si>
    <t>Serbian</t>
  </si>
  <si>
    <t>Seychellois</t>
  </si>
  <si>
    <t>Sierra Leonean</t>
  </si>
  <si>
    <t>Singaporean</t>
  </si>
  <si>
    <t>Slovakian</t>
  </si>
  <si>
    <t>Slovenian</t>
  </si>
  <si>
    <t>Solomon Islander</t>
  </si>
  <si>
    <t>Somali</t>
  </si>
  <si>
    <t>South African</t>
  </si>
  <si>
    <t>South Korean</t>
  </si>
  <si>
    <t>Spanish</t>
  </si>
  <si>
    <t>Sri Lankan</t>
  </si>
  <si>
    <t>Sudanese</t>
  </si>
  <si>
    <t>Surinamer</t>
  </si>
  <si>
    <t>Swazi</t>
  </si>
  <si>
    <t>Swedish</t>
  </si>
  <si>
    <t>Swiss</t>
  </si>
  <si>
    <t>Syrian</t>
  </si>
  <si>
    <t>Taiwanese</t>
  </si>
  <si>
    <t>Tajik</t>
  </si>
  <si>
    <t>Tanzanian</t>
  </si>
  <si>
    <t>Thai</t>
  </si>
  <si>
    <t>Togolese</t>
  </si>
  <si>
    <t>Tongan</t>
  </si>
  <si>
    <t>Trinidadian or Tobagonian</t>
  </si>
  <si>
    <t>Tunisian</t>
  </si>
  <si>
    <t>Turkish</t>
  </si>
  <si>
    <t>Tuvaluan</t>
  </si>
  <si>
    <t>Ugandan</t>
  </si>
  <si>
    <t>Ukrainian</t>
  </si>
  <si>
    <t>Uruguayan</t>
  </si>
  <si>
    <t>Uzbekistani</t>
  </si>
  <si>
    <t>Venezuelan</t>
  </si>
  <si>
    <t>Vietnamese</t>
  </si>
  <si>
    <t>Welsh</t>
  </si>
  <si>
    <t>Yemenite</t>
  </si>
  <si>
    <t>Zambian</t>
  </si>
  <si>
    <t>Zimbabwean</t>
  </si>
  <si>
    <t>NATIONALITY</t>
  </si>
  <si>
    <t>British</t>
  </si>
  <si>
    <t>EMPTY</t>
  </si>
  <si>
    <t>2's</t>
  </si>
  <si>
    <t>1's</t>
  </si>
  <si>
    <t>3's</t>
  </si>
  <si>
    <t>SAUNDERS</t>
  </si>
  <si>
    <t>KIRSTY</t>
  </si>
  <si>
    <t>A1234AA</t>
  </si>
  <si>
    <t>RISK TO 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</si>
</sst>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Times New Roman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4"/>
      <color theme="1"/>
      <name val="Tahoma"/>
      <family val="2"/>
    </font>
    <font>
      <b/>
      <sz val="14"/>
      <color rgb="FFFF0000"/>
      <name val="Tahoma"/>
      <family val="2"/>
    </font>
    <font>
      <b/>
      <sz val="16"/>
      <color theme="1"/>
      <name val="Tahoma"/>
      <family val="2"/>
    </font>
    <font>
      <b/>
      <sz val="12"/>
      <color theme="1"/>
      <name val="Tahoma"/>
      <family val="2"/>
    </font>
    <font>
      <b/>
      <sz val="12"/>
      <color rgb="FFFF0000"/>
      <name val="Tahoma"/>
      <family val="2"/>
    </font>
    <font>
      <sz val="12"/>
      <color theme="1"/>
      <name val="Tahoma"/>
      <family val="2"/>
    </font>
    <font>
      <b/>
      <sz val="12"/>
      <color theme="1"/>
      <name val="Arial"/>
      <family val="2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sz val="8"/>
      <color theme="1"/>
      <name val="Times New Roman"/>
      <family val="2"/>
    </font>
    <font>
      <sz val="11"/>
      <color theme="1"/>
      <name val="Rage Italic"/>
      <family val="4"/>
    </font>
    <font>
      <b/>
      <sz val="11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1">
    <xf numFmtId="0" fontId="0" fillId="0" borderId="0" xfId="0"/>
    <xf numFmtId="0" fontId="1" fillId="0" borderId="0" xfId="0" applyFont="1" applyAlignment="1">
      <alignment horizontal="center"/>
    </xf>
    <xf numFmtId="14" fontId="1" fillId="0" borderId="0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49" fontId="1" fillId="3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0" borderId="0" xfId="0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49" fontId="1" fillId="11" borderId="2" xfId="0" applyNumberFormat="1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49" fontId="1" fillId="14" borderId="1" xfId="0" applyNumberFormat="1" applyFont="1" applyFill="1" applyBorder="1" applyAlignment="1">
      <alignment horizontal="center"/>
    </xf>
    <xf numFmtId="0" fontId="1" fillId="12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49" fontId="2" fillId="0" borderId="0" xfId="0" applyNumberFormat="1" applyFont="1" applyBorder="1" applyAlignment="1">
      <alignment horizontal="center"/>
    </xf>
    <xf numFmtId="0" fontId="2" fillId="16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2" fillId="19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49" fontId="2" fillId="10" borderId="5" xfId="0" applyNumberFormat="1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6" fillId="0" borderId="9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2" fillId="10" borderId="10" xfId="0" applyFont="1" applyFill="1" applyBorder="1" applyAlignment="1">
      <alignment horizontal="center"/>
    </xf>
    <xf numFmtId="0" fontId="12" fillId="0" borderId="0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14" fontId="0" fillId="0" borderId="0" xfId="0" applyNumberFormat="1" applyFont="1" applyBorder="1" applyAlignment="1">
      <alignment vertical="center"/>
    </xf>
    <xf numFmtId="14" fontId="0" fillId="0" borderId="0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0" xfId="0" applyBorder="1"/>
    <xf numFmtId="14" fontId="0" fillId="0" borderId="14" xfId="0" applyNumberFormat="1" applyFont="1" applyBorder="1" applyAlignment="1">
      <alignment horizontal="center" vertical="center"/>
    </xf>
    <xf numFmtId="14" fontId="0" fillId="0" borderId="15" xfId="0" applyNumberFormat="1" applyFont="1" applyBorder="1" applyAlignment="1">
      <alignment vertical="center"/>
    </xf>
    <xf numFmtId="14" fontId="14" fillId="0" borderId="16" xfId="0" applyNumberFormat="1" applyFont="1" applyBorder="1" applyAlignment="1">
      <alignment vertical="center"/>
    </xf>
    <xf numFmtId="14" fontId="14" fillId="0" borderId="17" xfId="0" applyNumberFormat="1" applyFont="1" applyBorder="1" applyAlignment="1">
      <alignment horizontal="center" vertical="center"/>
    </xf>
    <xf numFmtId="14" fontId="14" fillId="0" borderId="0" xfId="0" applyNumberFormat="1" applyFont="1" applyBorder="1" applyAlignment="1">
      <alignment horizontal="center" vertical="center"/>
    </xf>
    <xf numFmtId="0" fontId="15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6" fillId="0" borderId="0" xfId="0" applyFont="1" applyAlignment="1">
      <alignment horizontal="right"/>
    </xf>
    <xf numFmtId="0" fontId="20" fillId="0" borderId="23" xfId="0" applyNumberFormat="1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14" fontId="20" fillId="0" borderId="0" xfId="0" applyNumberFormat="1" applyFont="1" applyBorder="1" applyAlignment="1">
      <alignment vertical="center"/>
    </xf>
    <xf numFmtId="14" fontId="20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0" fillId="0" borderId="0" xfId="0" applyFont="1" applyBorder="1"/>
    <xf numFmtId="14" fontId="20" fillId="0" borderId="14" xfId="0" applyNumberFormat="1" applyFont="1" applyBorder="1" applyAlignment="1">
      <alignment horizontal="center" vertical="center"/>
    </xf>
    <xf numFmtId="0" fontId="17" fillId="0" borderId="0" xfId="0" applyFont="1"/>
    <xf numFmtId="0" fontId="20" fillId="0" borderId="21" xfId="0" applyNumberFormat="1" applyFont="1" applyBorder="1" applyAlignment="1">
      <alignment horizontal="center" vertical="center"/>
    </xf>
    <xf numFmtId="14" fontId="20" fillId="0" borderId="15" xfId="0" applyNumberFormat="1" applyFont="1" applyBorder="1" applyAlignment="1">
      <alignment horizontal="center" vertical="center"/>
    </xf>
    <xf numFmtId="14" fontId="20" fillId="0" borderId="16" xfId="0" applyNumberFormat="1" applyFont="1" applyBorder="1" applyAlignment="1">
      <alignment horizontal="center" vertical="center"/>
    </xf>
    <xf numFmtId="0" fontId="20" fillId="0" borderId="25" xfId="0" applyNumberFormat="1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14" fontId="20" fillId="21" borderId="20" xfId="0" applyNumberFormat="1" applyFont="1" applyFill="1" applyBorder="1" applyAlignment="1">
      <alignment horizontal="center" vertical="center"/>
    </xf>
    <xf numFmtId="14" fontId="20" fillId="21" borderId="22" xfId="0" applyNumberFormat="1" applyFont="1" applyFill="1" applyBorder="1" applyAlignment="1">
      <alignment horizontal="center" vertical="center"/>
    </xf>
    <xf numFmtId="14" fontId="20" fillId="21" borderId="24" xfId="0" applyNumberFormat="1" applyFont="1" applyFill="1" applyBorder="1" applyAlignment="1">
      <alignment horizontal="center" vertical="center"/>
    </xf>
    <xf numFmtId="0" fontId="20" fillId="21" borderId="18" xfId="0" applyFont="1" applyFill="1" applyBorder="1" applyAlignment="1">
      <alignment horizontal="center" vertical="center"/>
    </xf>
    <xf numFmtId="0" fontId="20" fillId="21" borderId="22" xfId="0" applyFont="1" applyFill="1" applyBorder="1" applyAlignment="1">
      <alignment horizontal="center" vertical="center"/>
    </xf>
    <xf numFmtId="0" fontId="20" fillId="21" borderId="26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21" borderId="20" xfId="0" applyFont="1" applyFill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17" fillId="0" borderId="0" xfId="0" applyFont="1" applyAlignment="1">
      <alignment horizontal="left" textRotation="90"/>
    </xf>
    <xf numFmtId="0" fontId="20" fillId="0" borderId="0" xfId="0" applyFont="1" applyBorder="1" applyAlignment="1">
      <alignment horizontal="center" vertical="center"/>
    </xf>
    <xf numFmtId="0" fontId="17" fillId="0" borderId="0" xfId="0" applyFont="1" applyAlignment="1">
      <alignment horizontal="center" textRotation="90"/>
    </xf>
    <xf numFmtId="0" fontId="20" fillId="0" borderId="0" xfId="0" applyFont="1" applyAlignment="1">
      <alignment horizontal="center"/>
    </xf>
    <xf numFmtId="0" fontId="20" fillId="0" borderId="0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20" fillId="0" borderId="11" xfId="0" applyNumberFormat="1" applyFont="1" applyBorder="1" applyAlignment="1">
      <alignment horizontal="center"/>
    </xf>
    <xf numFmtId="49" fontId="20" fillId="0" borderId="11" xfId="0" applyNumberFormat="1" applyFont="1" applyBorder="1" applyAlignment="1">
      <alignment horizontal="center"/>
    </xf>
    <xf numFmtId="0" fontId="20" fillId="0" borderId="0" xfId="0" applyFont="1" applyBorder="1" applyAlignment="1">
      <alignment horizontal="center" vertical="center"/>
    </xf>
    <xf numFmtId="0" fontId="16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22" fillId="0" borderId="0" xfId="0" applyFont="1" applyFill="1" applyBorder="1" applyAlignment="1">
      <alignment vertical="center"/>
    </xf>
    <xf numFmtId="14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49" fontId="20" fillId="0" borderId="0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textRotation="90"/>
    </xf>
    <xf numFmtId="0" fontId="19" fillId="0" borderId="0" xfId="0" applyFont="1" applyFill="1" applyBorder="1" applyAlignment="1">
      <alignment horizontal="center"/>
    </xf>
    <xf numFmtId="0" fontId="20" fillId="0" borderId="0" xfId="0" applyFont="1" applyFill="1" applyBorder="1"/>
    <xf numFmtId="49" fontId="20" fillId="0" borderId="0" xfId="0" applyNumberFormat="1" applyFont="1" applyFill="1" applyBorder="1"/>
    <xf numFmtId="0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14" fontId="20" fillId="0" borderId="0" xfId="0" applyNumberFormat="1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14" fontId="20" fillId="0" borderId="29" xfId="0" applyNumberFormat="1" applyFont="1" applyBorder="1" applyAlignment="1">
      <alignment horizontal="center" vertical="center"/>
    </xf>
    <xf numFmtId="14" fontId="14" fillId="0" borderId="28" xfId="0" applyNumberFormat="1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22" borderId="2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textRotation="90"/>
    </xf>
    <xf numFmtId="0" fontId="19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14" fontId="1" fillId="5" borderId="3" xfId="0" applyNumberFormat="1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7" fillId="0" borderId="0" xfId="0" applyFont="1" applyAlignment="1">
      <alignment horizontal="left" textRotation="90"/>
    </xf>
    <xf numFmtId="0" fontId="16" fillId="0" borderId="0" xfId="0" applyFont="1" applyAlignment="1">
      <alignment horizontal="center" textRotation="90"/>
    </xf>
    <xf numFmtId="0" fontId="22" fillId="3" borderId="18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0" fontId="22" fillId="3" borderId="17" xfId="0" applyFont="1" applyFill="1" applyBorder="1" applyAlignment="1">
      <alignment horizontal="center" vertical="center"/>
    </xf>
    <xf numFmtId="49" fontId="20" fillId="0" borderId="30" xfId="0" applyNumberFormat="1" applyFont="1" applyBorder="1" applyAlignment="1">
      <alignment horizontal="center" wrapText="1"/>
    </xf>
    <xf numFmtId="49" fontId="20" fillId="0" borderId="31" xfId="0" applyNumberFormat="1" applyFont="1" applyBorder="1" applyAlignment="1">
      <alignment horizontal="center" wrapText="1"/>
    </xf>
    <xf numFmtId="49" fontId="20" fillId="0" borderId="16" xfId="0" applyNumberFormat="1" applyFont="1" applyBorder="1" applyAlignment="1">
      <alignment horizontal="center" wrapText="1"/>
    </xf>
    <xf numFmtId="49" fontId="20" fillId="0" borderId="17" xfId="0" applyNumberFormat="1" applyFont="1" applyBorder="1" applyAlignment="1">
      <alignment horizontal="center" wrapText="1"/>
    </xf>
    <xf numFmtId="0" fontId="20" fillId="0" borderId="30" xfId="0" applyNumberFormat="1" applyFont="1" applyBorder="1" applyAlignment="1">
      <alignment horizontal="center" wrapText="1"/>
    </xf>
    <xf numFmtId="0" fontId="20" fillId="0" borderId="31" xfId="0" applyNumberFormat="1" applyFont="1" applyBorder="1" applyAlignment="1">
      <alignment horizontal="center" wrapText="1"/>
    </xf>
    <xf numFmtId="0" fontId="20" fillId="0" borderId="16" xfId="0" applyNumberFormat="1" applyFont="1" applyBorder="1" applyAlignment="1">
      <alignment horizontal="center" wrapText="1"/>
    </xf>
    <xf numFmtId="0" fontId="20" fillId="0" borderId="17" xfId="0" applyNumberFormat="1" applyFont="1" applyBorder="1" applyAlignment="1">
      <alignment horizontal="center" wrapText="1"/>
    </xf>
    <xf numFmtId="0" fontId="3" fillId="20" borderId="6" xfId="0" applyFont="1" applyFill="1" applyBorder="1" applyAlignment="1">
      <alignment horizontal="center" vertical="center" wrapText="1"/>
    </xf>
    <xf numFmtId="0" fontId="3" fillId="20" borderId="7" xfId="0" applyFont="1" applyFill="1" applyBorder="1" applyAlignment="1">
      <alignment horizontal="center" vertical="center" wrapText="1"/>
    </xf>
    <xf numFmtId="0" fontId="3" fillId="20" borderId="8" xfId="0" applyFont="1" applyFill="1" applyBorder="1" applyAlignment="1">
      <alignment horizontal="center" vertical="center" wrapText="1"/>
    </xf>
    <xf numFmtId="0" fontId="10" fillId="20" borderId="6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0" fillId="20" borderId="7" xfId="0" applyFont="1" applyFill="1" applyBorder="1" applyAlignment="1">
      <alignment horizontal="center" vertical="center" wrapText="1"/>
    </xf>
    <xf numFmtId="0" fontId="10" fillId="20" borderId="8" xfId="0" applyFont="1" applyFill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6" fillId="0" borderId="6" xfId="0" applyFont="1" applyBorder="1" applyAlignment="1">
      <alignment vertical="center" wrapText="1"/>
    </xf>
    <xf numFmtId="0" fontId="6" fillId="0" borderId="7" xfId="0" applyFont="1" applyBorder="1" applyAlignment="1">
      <alignment vertical="center" wrapText="1"/>
    </xf>
    <xf numFmtId="0" fontId="6" fillId="0" borderId="8" xfId="0" applyFont="1" applyBorder="1" applyAlignment="1">
      <alignment vertical="center" wrapText="1"/>
    </xf>
    <xf numFmtId="0" fontId="4" fillId="20" borderId="6" xfId="0" applyFont="1" applyFill="1" applyBorder="1" applyAlignment="1">
      <alignment vertical="center" wrapText="1"/>
    </xf>
    <xf numFmtId="0" fontId="4" fillId="20" borderId="7" xfId="0" applyFont="1" applyFill="1" applyBorder="1" applyAlignment="1">
      <alignment vertical="center" wrapText="1"/>
    </xf>
    <xf numFmtId="0" fontId="4" fillId="20" borderId="8" xfId="0" applyFont="1" applyFill="1" applyBorder="1" applyAlignment="1">
      <alignment vertical="center" wrapText="1"/>
    </xf>
    <xf numFmtId="0" fontId="7" fillId="20" borderId="6" xfId="0" applyFont="1" applyFill="1" applyBorder="1" applyAlignment="1">
      <alignment vertical="center" wrapText="1"/>
    </xf>
    <xf numFmtId="0" fontId="7" fillId="20" borderId="7" xfId="0" applyFont="1" applyFill="1" applyBorder="1" applyAlignment="1">
      <alignment vertical="center" wrapText="1"/>
    </xf>
    <xf numFmtId="0" fontId="7" fillId="20" borderId="8" xfId="0" applyFont="1" applyFill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6" xfId="0" applyNumberFormat="1" applyFont="1" applyBorder="1" applyAlignment="1">
      <alignment vertical="center" wrapText="1"/>
    </xf>
    <xf numFmtId="0" fontId="6" fillId="0" borderId="7" xfId="0" applyNumberFormat="1" applyFont="1" applyBorder="1" applyAlignment="1">
      <alignment vertical="center" wrapText="1"/>
    </xf>
    <xf numFmtId="0" fontId="6" fillId="0" borderId="8" xfId="0" applyNumberFormat="1" applyFont="1" applyBorder="1" applyAlignment="1">
      <alignment vertical="center" wrapText="1"/>
    </xf>
    <xf numFmtId="0" fontId="17" fillId="0" borderId="0" xfId="0" applyFont="1" applyAlignment="1">
      <alignment horizontal="center" textRotation="90"/>
    </xf>
    <xf numFmtId="0" fontId="12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8" fillId="0" borderId="0" xfId="0" applyFont="1" applyAlignment="1">
      <alignment horizontal="left" textRotation="90"/>
    </xf>
    <xf numFmtId="0" fontId="26" fillId="0" borderId="30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4" fontId="24" fillId="0" borderId="28" xfId="0" applyNumberFormat="1" applyFont="1" applyBorder="1" applyAlignment="1">
      <alignment horizontal="center" vertical="center" textRotation="90"/>
    </xf>
    <xf numFmtId="0" fontId="19" fillId="0" borderId="28" xfId="0" applyFont="1" applyBorder="1" applyAlignment="1">
      <alignment horizontal="center" vertical="center" textRotation="90"/>
    </xf>
    <xf numFmtId="0" fontId="22" fillId="3" borderId="14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5" fillId="14" borderId="0" xfId="0" applyFont="1" applyFill="1" applyBorder="1" applyAlignment="1">
      <alignment horizontal="left" vertical="center" textRotation="90" wrapText="1"/>
    </xf>
    <xf numFmtId="0" fontId="17" fillId="0" borderId="0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49" fontId="20" fillId="0" borderId="0" xfId="0" applyNumberFormat="1" applyFont="1" applyFill="1" applyBorder="1" applyAlignment="1">
      <alignment horizontal="center"/>
    </xf>
    <xf numFmtId="0" fontId="20" fillId="0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56">
    <dxf>
      <fill>
        <patternFill>
          <bgColor rgb="FFFFC000"/>
        </patternFill>
      </fill>
    </dxf>
    <dxf>
      <fill>
        <patternFill>
          <bgColor rgb="FFFE6054"/>
        </patternFill>
      </fill>
    </dxf>
    <dxf>
      <fill>
        <patternFill>
          <bgColor rgb="FFFFC000"/>
        </patternFill>
      </fill>
    </dxf>
    <dxf>
      <fill>
        <patternFill>
          <bgColor rgb="FFFE6054"/>
        </patternFill>
      </fill>
    </dxf>
    <dxf>
      <fill>
        <patternFill>
          <bgColor rgb="FFFFC000"/>
        </patternFill>
      </fill>
    </dxf>
    <dxf>
      <fill>
        <patternFill>
          <bgColor rgb="FFFE6054"/>
        </patternFill>
      </fill>
    </dxf>
    <dxf>
      <fill>
        <patternFill>
          <bgColor rgb="FFFFC000"/>
        </patternFill>
      </fill>
    </dxf>
    <dxf>
      <fill>
        <patternFill>
          <bgColor rgb="FFFE6054"/>
        </patternFill>
      </fill>
    </dxf>
    <dxf>
      <fill>
        <patternFill>
          <bgColor rgb="FFFFC000"/>
        </patternFill>
      </fill>
    </dxf>
    <dxf>
      <fill>
        <patternFill>
          <bgColor rgb="FFFE6054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FE6054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FE6054"/>
        </patternFill>
      </fill>
    </dxf>
  </dxfs>
  <tableStyles count="0" defaultTableStyle="TableStyleMedium2" defaultPivotStyle="PivotStyleLight16"/>
  <colors>
    <mruColors>
      <color rgb="FFFE6054"/>
      <color rgb="FFE8A2CA"/>
      <color rgb="FFE791E3"/>
      <color rgb="FFFF99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5.3450815052086216E-2"/>
                  <c:y val="-0.14556580531804006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475AFAD-3708-49D0-899F-1473B46704AF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FD28DDC0-ECB7-4109-A703-2F44A35B9E79}" type="PERCENTAGE">
                      <a:rPr lang="en-US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0.3947137111538675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B7538FC-013B-4918-BF4B-22D185488251}" type="CELLRAN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C40FCF45-DFDF-4876-8893-D0F169630E56}" type="PERCENTA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0.15624084399840588"/>
                  <c:y val="8.5626944304729447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3280D45-4C36-4462-A6C7-D987F7F7EC18}" type="CELLRAN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38515FA9-17F9-4B00-8B88-958FB5FB8F50}" type="PERCENTA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'Data Validation'!$B$8:$D$8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'Data Validation'!$B$3:$D$3</c15:f>
                <c15:dlblRangeCache>
                  <c:ptCount val="3"/>
                  <c:pt idx="0">
                    <c:v>Standard Risk</c:v>
                  </c:pt>
                  <c:pt idx="1">
                    <c:v>High Risk Can Share</c:v>
                  </c:pt>
                  <c:pt idx="2">
                    <c:v>High Risk</c:v>
                  </c:pt>
                </c15:dlblRangeCache>
              </c15:datalabelsRange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0.39298252852282134"/>
                  <c:y val="0.70021287439603785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192116F-A015-4104-B510-A318A04AAAFE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15B2E95F-A7E9-4F8D-B568-DA25C2138176}" type="PERCENTAGE">
                      <a:rPr lang="en-US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0.15964915221239623"/>
                  <c:y val="3.415672558029452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5E0DF92-21C1-4375-882E-B59210C93576}" type="CELLRAN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F8F06B40-D0F5-47B3-AFEE-EBB9545BF2CA}" type="PERCENTA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0.36432755248469906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2BFB01A-A021-4668-90C4-5D5B96B1EA84}" type="CELLRAN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55BFE3D0-C5F1-494D-97EF-CBF672F471B7}" type="PERCENTA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'Data Validation'!$B$16:$D$16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'Data Validation'!$B$11:$D$11</c15:f>
                <c15:dlblRangeCache>
                  <c:ptCount val="3"/>
                  <c:pt idx="0">
                    <c:v>Open Acct</c:v>
                  </c:pt>
                  <c:pt idx="1">
                    <c:v>Previous History</c:v>
                  </c:pt>
                  <c:pt idx="2">
                    <c:v>No Acct</c:v>
                  </c:pt>
                </c15:dlblRangeCache>
              </c15:datalabelsRange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0.16106196186671887"/>
                  <c:y val="5.9232351391094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F08182D-87AD-4216-874E-783AD19C92A9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CB6F1C66-CEE2-4474-92BB-1AA578536F63}" type="PERCENTAGE">
                      <a:rPr lang="en-US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0.152802374078682"/>
                  <c:y val="-8.4617644844420126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529F944-9C42-4BC5-9A8F-CA00B153FDC3}" type="CELLRAN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FDA9B336-D95A-4E0D-A68F-629CA13159D7}" type="PERCENTA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'Data Validation'!$B$24:$C$24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'Data Validation'!$B$19:$C$19</c15:f>
                <c15:dlblRangeCache>
                  <c:ptCount val="2"/>
                  <c:pt idx="0">
                    <c:v>CSRA Correct</c:v>
                  </c:pt>
                  <c:pt idx="1">
                    <c:v>CSRA Errors</c:v>
                  </c:pt>
                </c15:dlblRangeCache>
              </c15:datalabelsRange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0.41481646729968935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2396DFB-4769-4E78-AD59-80C1BF3DAB94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8586E7E-FB36-452B-9233-4F61531587C9}" type="PERCENTAGE">
                      <a:rPr lang="en-US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0.38577779577849147"/>
                  <c:y val="-8.3857442348009917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A5318E7-A8D0-4E87-B7B5-4491AE6C22F9}" type="CELLRAN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6899A6D2-6E9E-4123-B9D0-7858A71016FD}" type="PERCENTA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'Data Validation'!$B$32:$C$32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'Data Validation'!$B$27:$C$27</c15:f>
                <c15:dlblRangeCache>
                  <c:ptCount val="2"/>
                  <c:pt idx="0">
                    <c:v>Non-Smokers</c:v>
                  </c:pt>
                  <c:pt idx="1">
                    <c:v>Smokers</c:v>
                  </c:pt>
                </c15:dlblRangeCache>
              </c15:datalabelsRange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layout>
                <c:manualLayout>
                  <c:x val="-0.40615371495135394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75FE5FD-80A7-40BF-B5B9-8F17C0C94DC9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51C71C50-72F8-4DD2-A5A1-F060E7B3CDE4}" type="PERCENTAGE">
                      <a:rPr lang="en-US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0.41025627772864037"/>
                  <c:y val="2.863249960834043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6F03194-570E-4B0E-87AF-2472CBACCF6F}" type="CELLRAN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F4910A4E-82E4-4FD8-B75A-62699136B400}" type="PERCENTAGE">
                      <a:rPr lang="en-US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'Data Validation'!$B$40:$C$40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'Data Validation'!$B$35:$C$35</c15:f>
                <c15:dlblRangeCache>
                  <c:ptCount val="2"/>
                  <c:pt idx="0">
                    <c:v>Adults</c:v>
                  </c:pt>
                  <c:pt idx="1">
                    <c:v>YP</c:v>
                  </c:pt>
                </c15:dlblRangeCache>
              </c15:datalabelsRange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37</xdr:row>
          <xdr:rowOff>259080</xdr:rowOff>
        </xdr:from>
        <xdr:to>
          <xdr:col>8</xdr:col>
          <xdr:colOff>30480</xdr:colOff>
          <xdr:row>38</xdr:row>
          <xdr:rowOff>259080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52</xdr:row>
      <xdr:rowOff>19050</xdr:rowOff>
    </xdr:from>
    <xdr:to>
      <xdr:col>11</xdr:col>
      <xdr:colOff>133350</xdr:colOff>
      <xdr:row>54</xdr:row>
      <xdr:rowOff>180975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6543675" y="17354550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371475</xdr:colOff>
      <xdr:row>29</xdr:row>
      <xdr:rowOff>66675</xdr:rowOff>
    </xdr:from>
    <xdr:to>
      <xdr:col>5</xdr:col>
      <xdr:colOff>371475</xdr:colOff>
      <xdr:row>32</xdr:row>
      <xdr:rowOff>38100</xdr:rowOff>
    </xdr:to>
    <xdr:sp macro="" textlink="">
      <xdr:nvSpPr>
        <xdr:cNvPr id="3" name="Line 3"/>
        <xdr:cNvSpPr>
          <a:spLocks noChangeShapeType="1"/>
        </xdr:cNvSpPr>
      </xdr:nvSpPr>
      <xdr:spPr bwMode="auto">
        <a:xfrm>
          <a:off x="3124200" y="13020675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504825</xdr:colOff>
      <xdr:row>52</xdr:row>
      <xdr:rowOff>19050</xdr:rowOff>
    </xdr:from>
    <xdr:to>
      <xdr:col>16</xdr:col>
      <xdr:colOff>504825</xdr:colOff>
      <xdr:row>54</xdr:row>
      <xdr:rowOff>180975</xdr:rowOff>
    </xdr:to>
    <xdr:sp macro="" textlink="">
      <xdr:nvSpPr>
        <xdr:cNvPr id="4" name="Line 2"/>
        <xdr:cNvSpPr>
          <a:spLocks noChangeShapeType="1"/>
        </xdr:cNvSpPr>
      </xdr:nvSpPr>
      <xdr:spPr bwMode="auto">
        <a:xfrm>
          <a:off x="9963150" y="17354550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52</xdr:row>
      <xdr:rowOff>19050</xdr:rowOff>
    </xdr:from>
    <xdr:to>
      <xdr:col>11</xdr:col>
      <xdr:colOff>133350</xdr:colOff>
      <xdr:row>54</xdr:row>
      <xdr:rowOff>180975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6543675" y="17354550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371475</xdr:colOff>
      <xdr:row>29</xdr:row>
      <xdr:rowOff>66675</xdr:rowOff>
    </xdr:from>
    <xdr:to>
      <xdr:col>5</xdr:col>
      <xdr:colOff>371475</xdr:colOff>
      <xdr:row>32</xdr:row>
      <xdr:rowOff>38100</xdr:rowOff>
    </xdr:to>
    <xdr:sp macro="" textlink="">
      <xdr:nvSpPr>
        <xdr:cNvPr id="3" name="Line 3"/>
        <xdr:cNvSpPr>
          <a:spLocks noChangeShapeType="1"/>
        </xdr:cNvSpPr>
      </xdr:nvSpPr>
      <xdr:spPr bwMode="auto">
        <a:xfrm>
          <a:off x="3124200" y="13020675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504825</xdr:colOff>
      <xdr:row>52</xdr:row>
      <xdr:rowOff>19050</xdr:rowOff>
    </xdr:from>
    <xdr:to>
      <xdr:col>16</xdr:col>
      <xdr:colOff>504825</xdr:colOff>
      <xdr:row>54</xdr:row>
      <xdr:rowOff>180975</xdr:rowOff>
    </xdr:to>
    <xdr:sp macro="" textlink="">
      <xdr:nvSpPr>
        <xdr:cNvPr id="4" name="Line 2"/>
        <xdr:cNvSpPr>
          <a:spLocks noChangeShapeType="1"/>
        </xdr:cNvSpPr>
      </xdr:nvSpPr>
      <xdr:spPr bwMode="auto">
        <a:xfrm>
          <a:off x="9963150" y="17354550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52</xdr:row>
      <xdr:rowOff>19050</xdr:rowOff>
    </xdr:from>
    <xdr:to>
      <xdr:col>11</xdr:col>
      <xdr:colOff>133350</xdr:colOff>
      <xdr:row>54</xdr:row>
      <xdr:rowOff>180975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6543675" y="17354550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371475</xdr:colOff>
      <xdr:row>29</xdr:row>
      <xdr:rowOff>66675</xdr:rowOff>
    </xdr:from>
    <xdr:to>
      <xdr:col>5</xdr:col>
      <xdr:colOff>371475</xdr:colOff>
      <xdr:row>32</xdr:row>
      <xdr:rowOff>38100</xdr:rowOff>
    </xdr:to>
    <xdr:sp macro="" textlink="">
      <xdr:nvSpPr>
        <xdr:cNvPr id="3" name="Line 3"/>
        <xdr:cNvSpPr>
          <a:spLocks noChangeShapeType="1"/>
        </xdr:cNvSpPr>
      </xdr:nvSpPr>
      <xdr:spPr bwMode="auto">
        <a:xfrm>
          <a:off x="3124200" y="13020675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504825</xdr:colOff>
      <xdr:row>52</xdr:row>
      <xdr:rowOff>19050</xdr:rowOff>
    </xdr:from>
    <xdr:to>
      <xdr:col>16</xdr:col>
      <xdr:colOff>504825</xdr:colOff>
      <xdr:row>54</xdr:row>
      <xdr:rowOff>180975</xdr:rowOff>
    </xdr:to>
    <xdr:sp macro="" textlink="">
      <xdr:nvSpPr>
        <xdr:cNvPr id="4" name="Line 2"/>
        <xdr:cNvSpPr>
          <a:spLocks noChangeShapeType="1"/>
        </xdr:cNvSpPr>
      </xdr:nvSpPr>
      <xdr:spPr bwMode="auto">
        <a:xfrm>
          <a:off x="9963150" y="17354550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133350</xdr:colOff>
      <xdr:row>52</xdr:row>
      <xdr:rowOff>19050</xdr:rowOff>
    </xdr:from>
    <xdr:to>
      <xdr:col>11</xdr:col>
      <xdr:colOff>133350</xdr:colOff>
      <xdr:row>54</xdr:row>
      <xdr:rowOff>180975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6543675" y="17354550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371475</xdr:colOff>
      <xdr:row>29</xdr:row>
      <xdr:rowOff>66675</xdr:rowOff>
    </xdr:from>
    <xdr:to>
      <xdr:col>5</xdr:col>
      <xdr:colOff>371475</xdr:colOff>
      <xdr:row>32</xdr:row>
      <xdr:rowOff>38100</xdr:rowOff>
    </xdr:to>
    <xdr:sp macro="" textlink="">
      <xdr:nvSpPr>
        <xdr:cNvPr id="3" name="Line 3"/>
        <xdr:cNvSpPr>
          <a:spLocks noChangeShapeType="1"/>
        </xdr:cNvSpPr>
      </xdr:nvSpPr>
      <xdr:spPr bwMode="auto">
        <a:xfrm>
          <a:off x="3124200" y="13020675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504825</xdr:colOff>
      <xdr:row>52</xdr:row>
      <xdr:rowOff>19050</xdr:rowOff>
    </xdr:from>
    <xdr:to>
      <xdr:col>16</xdr:col>
      <xdr:colOff>504825</xdr:colOff>
      <xdr:row>54</xdr:row>
      <xdr:rowOff>180975</xdr:rowOff>
    </xdr:to>
    <xdr:sp macro="" textlink="">
      <xdr:nvSpPr>
        <xdr:cNvPr id="4" name="Line 2"/>
        <xdr:cNvSpPr>
          <a:spLocks noChangeShapeType="1"/>
        </xdr:cNvSpPr>
      </xdr:nvSpPr>
      <xdr:spPr bwMode="auto">
        <a:xfrm>
          <a:off x="9963150" y="17354550"/>
          <a:ext cx="0" cy="542925"/>
        </a:xfrm>
        <a:prstGeom prst="line">
          <a:avLst/>
        </a:prstGeom>
        <a:noFill/>
        <a:ln w="9525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598714</xdr:colOff>
      <xdr:row>0</xdr:row>
      <xdr:rowOff>258536</xdr:rowOff>
    </xdr:from>
    <xdr:to>
      <xdr:col>11</xdr:col>
      <xdr:colOff>13606</xdr:colOff>
      <xdr:row>8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8</xdr:row>
      <xdr:rowOff>268060</xdr:rowOff>
    </xdr:from>
    <xdr:to>
      <xdr:col>11</xdr:col>
      <xdr:colOff>40821</xdr:colOff>
      <xdr:row>16</xdr:row>
      <xdr:rowOff>13607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16</xdr:row>
      <xdr:rowOff>268059</xdr:rowOff>
    </xdr:from>
    <xdr:to>
      <xdr:col>11</xdr:col>
      <xdr:colOff>13607</xdr:colOff>
      <xdr:row>24</xdr:row>
      <xdr:rowOff>27214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13607</xdr:colOff>
      <xdr:row>24</xdr:row>
      <xdr:rowOff>268061</xdr:rowOff>
    </xdr:from>
    <xdr:to>
      <xdr:col>11</xdr:col>
      <xdr:colOff>13607</xdr:colOff>
      <xdr:row>32</xdr:row>
      <xdr:rowOff>40822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6802</xdr:colOff>
      <xdr:row>32</xdr:row>
      <xdr:rowOff>254453</xdr:rowOff>
    </xdr:from>
    <xdr:to>
      <xdr:col>11</xdr:col>
      <xdr:colOff>40821</xdr:colOff>
      <xdr:row>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  <pageSetUpPr fitToPage="1"/>
  </sheetPr>
  <dimension ref="A1:T44"/>
  <sheetViews>
    <sheetView tabSelected="1" zoomScale="70" zoomScaleNormal="70" workbookViewId="0">
      <selection activeCell="N7" sqref="A7:N9"/>
    </sheetView>
  </sheetViews>
  <sheetFormatPr defaultColWidth="9.109375" defaultRowHeight="21" x14ac:dyDescent="0.4"/>
  <cols>
    <col min="1" max="1" width="27.88671875" style="3" bestFit="1" customWidth="1"/>
    <col min="2" max="2" width="23.44140625" style="3" customWidth="1"/>
    <col min="3" max="3" width="17" style="3" customWidth="1"/>
    <col min="4" max="4" width="16.88671875" style="3" customWidth="1"/>
    <col min="5" max="5" width="20.109375" style="3" customWidth="1"/>
    <col min="6" max="6" width="20.33203125" style="3" bestFit="1" customWidth="1"/>
    <col min="7" max="7" width="20.33203125" style="3" customWidth="1"/>
    <col min="8" max="8" width="10.5546875" style="3" bestFit="1" customWidth="1"/>
    <col min="9" max="9" width="11.33203125" style="3" customWidth="1"/>
    <col min="10" max="10" width="9.109375" style="3" customWidth="1"/>
    <col min="11" max="11" width="9.109375" style="3" bestFit="1" customWidth="1"/>
    <col min="12" max="12" width="17.6640625" style="3" bestFit="1" customWidth="1"/>
    <col min="13" max="13" width="17.6640625" style="3" customWidth="1"/>
    <col min="14" max="14" width="33" style="3" bestFit="1" customWidth="1"/>
    <col min="15" max="15" width="18.5546875" style="1" bestFit="1" customWidth="1"/>
    <col min="16" max="16" width="14.5546875" style="3" customWidth="1"/>
    <col min="17" max="17" width="22" style="3" bestFit="1" customWidth="1"/>
    <col min="18" max="18" width="26.44140625" style="3" bestFit="1" customWidth="1"/>
    <col min="19" max="19" width="65.33203125" style="3" bestFit="1" customWidth="1"/>
    <col min="20" max="20" width="8.88671875"/>
    <col min="21" max="21" width="16.33203125" style="1" bestFit="1" customWidth="1"/>
    <col min="22" max="16384" width="9.109375" style="1"/>
  </cols>
  <sheetData>
    <row r="1" spans="1:20" x14ac:dyDescent="0.4">
      <c r="A1" s="133" t="s">
        <v>69</v>
      </c>
      <c r="B1" s="134"/>
      <c r="C1" s="135"/>
      <c r="D1" s="135"/>
      <c r="E1" s="135"/>
      <c r="F1" s="135"/>
      <c r="G1" s="135"/>
      <c r="H1" s="135"/>
      <c r="I1" s="135"/>
      <c r="J1" s="136"/>
      <c r="K1" s="139">
        <f ca="1">TODAY()</f>
        <v>42822</v>
      </c>
      <c r="L1" s="135"/>
      <c r="M1" s="135"/>
      <c r="N1" s="135"/>
      <c r="O1" s="135"/>
      <c r="P1" s="135"/>
      <c r="Q1" s="135"/>
      <c r="R1" s="135"/>
      <c r="S1" s="136"/>
    </row>
    <row r="2" spans="1:20" s="3" customFormat="1" ht="6" customHeight="1" x14ac:dyDescent="0.4">
      <c r="A2" s="4"/>
      <c r="B2" s="4"/>
      <c r="C2" s="6"/>
      <c r="D2" s="6"/>
      <c r="E2" s="6"/>
      <c r="F2" s="6"/>
      <c r="G2" s="6"/>
      <c r="H2" s="6"/>
      <c r="I2" s="6"/>
      <c r="J2" s="6"/>
      <c r="K2" s="140"/>
      <c r="L2" s="135"/>
      <c r="M2" s="135"/>
      <c r="N2" s="135"/>
      <c r="O2" s="135"/>
      <c r="P2" s="135"/>
      <c r="Q2" s="135"/>
      <c r="R2" s="135"/>
      <c r="S2" s="136"/>
    </row>
    <row r="3" spans="1:20" x14ac:dyDescent="0.4">
      <c r="A3" s="137" t="s">
        <v>234</v>
      </c>
      <c r="B3" s="138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6"/>
    </row>
    <row r="4" spans="1:20" x14ac:dyDescent="0.4">
      <c r="A4" s="16" t="s">
        <v>293</v>
      </c>
      <c r="B4" s="16" t="s">
        <v>294</v>
      </c>
      <c r="C4" s="17" t="s">
        <v>0</v>
      </c>
      <c r="D4" s="18" t="s">
        <v>282</v>
      </c>
      <c r="E4" s="16" t="s">
        <v>68</v>
      </c>
      <c r="F4" s="17" t="s">
        <v>26</v>
      </c>
      <c r="G4" s="36" t="s">
        <v>258</v>
      </c>
      <c r="H4" s="19" t="s">
        <v>30</v>
      </c>
      <c r="I4" s="23" t="s">
        <v>239</v>
      </c>
      <c r="J4" s="30" t="s">
        <v>242</v>
      </c>
      <c r="K4" s="31" t="s">
        <v>71</v>
      </c>
      <c r="L4" s="27" t="s">
        <v>248</v>
      </c>
      <c r="M4" s="128" t="s">
        <v>308</v>
      </c>
      <c r="N4" s="35" t="s">
        <v>297</v>
      </c>
      <c r="O4" s="32" t="s">
        <v>70</v>
      </c>
      <c r="P4" s="33" t="s">
        <v>235</v>
      </c>
      <c r="Q4" s="34" t="s">
        <v>72</v>
      </c>
      <c r="R4" s="35" t="s">
        <v>231</v>
      </c>
      <c r="S4" s="20" t="s">
        <v>236</v>
      </c>
      <c r="T4" s="1"/>
    </row>
    <row r="5" spans="1:20" ht="6" customHeight="1" x14ac:dyDescent="0.4">
      <c r="A5" s="4"/>
      <c r="B5" s="4"/>
      <c r="C5" s="4"/>
      <c r="D5" s="4"/>
      <c r="E5" s="4"/>
      <c r="F5" s="4"/>
      <c r="G5" s="4"/>
      <c r="H5" s="4"/>
      <c r="I5" s="4"/>
      <c r="J5" s="29"/>
      <c r="K5" s="29"/>
      <c r="L5" s="28"/>
      <c r="M5" s="28"/>
      <c r="N5" s="28"/>
      <c r="O5" s="15"/>
      <c r="P5" s="15"/>
      <c r="Q5" s="29"/>
      <c r="R5" s="29"/>
      <c r="S5" s="5"/>
      <c r="T5" s="1"/>
    </row>
    <row r="6" spans="1:20" x14ac:dyDescent="0.4">
      <c r="A6" s="21" t="s">
        <v>513</v>
      </c>
      <c r="B6" s="21" t="s">
        <v>514</v>
      </c>
      <c r="C6" s="21" t="s">
        <v>515</v>
      </c>
      <c r="D6" s="21" t="s">
        <v>278</v>
      </c>
      <c r="E6" s="21" t="s">
        <v>64</v>
      </c>
      <c r="F6" s="21" t="s">
        <v>28</v>
      </c>
      <c r="G6" s="21"/>
      <c r="H6" s="21" t="s">
        <v>32</v>
      </c>
      <c r="I6" s="21" t="s">
        <v>240</v>
      </c>
      <c r="J6" s="21" t="s">
        <v>243</v>
      </c>
      <c r="K6" s="21" t="s">
        <v>32</v>
      </c>
      <c r="L6" s="21" t="s">
        <v>32</v>
      </c>
      <c r="M6" s="21" t="s">
        <v>309</v>
      </c>
      <c r="N6" s="21" t="s">
        <v>302</v>
      </c>
      <c r="O6" s="21" t="s">
        <v>32</v>
      </c>
      <c r="P6" s="21"/>
      <c r="Q6" s="21"/>
      <c r="R6" s="21"/>
      <c r="S6" s="22" t="s">
        <v>516</v>
      </c>
      <c r="T6" s="1"/>
    </row>
    <row r="7" spans="1:20" x14ac:dyDescent="0.4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2"/>
      <c r="T7" s="1"/>
    </row>
    <row r="8" spans="1:20" x14ac:dyDescent="0.4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2"/>
      <c r="T8" s="1"/>
    </row>
    <row r="9" spans="1:20" x14ac:dyDescent="0.4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2"/>
      <c r="T9" s="1"/>
    </row>
    <row r="10" spans="1:20" x14ac:dyDescent="0.4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2"/>
      <c r="T10" s="1"/>
    </row>
    <row r="11" spans="1:20" x14ac:dyDescent="0.4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2"/>
      <c r="T11" s="1"/>
    </row>
    <row r="12" spans="1:20" x14ac:dyDescent="0.4">
      <c r="A12" s="24"/>
      <c r="B12" s="24"/>
      <c r="C12" s="24"/>
      <c r="D12" s="24"/>
      <c r="E12" s="24"/>
      <c r="F12" s="24"/>
      <c r="G12" s="24"/>
      <c r="H12" s="24"/>
      <c r="I12" s="21"/>
      <c r="J12" s="24"/>
      <c r="K12" s="24"/>
      <c r="L12" s="24"/>
      <c r="M12" s="24"/>
      <c r="N12" s="24"/>
      <c r="O12" s="24"/>
      <c r="P12" s="21"/>
      <c r="Q12" s="21"/>
      <c r="R12" s="21"/>
      <c r="S12" s="22"/>
      <c r="T12" s="1"/>
    </row>
    <row r="13" spans="1:20" x14ac:dyDescent="0.4">
      <c r="A13" s="24"/>
      <c r="B13" s="24"/>
      <c r="C13" s="24"/>
      <c r="D13" s="24"/>
      <c r="E13" s="24"/>
      <c r="F13" s="24"/>
      <c r="G13" s="24"/>
      <c r="H13" s="24"/>
      <c r="I13" s="21"/>
      <c r="J13" s="24"/>
      <c r="K13" s="24"/>
      <c r="L13" s="24"/>
      <c r="M13" s="24"/>
      <c r="N13" s="24"/>
      <c r="O13" s="24"/>
      <c r="P13" s="21"/>
      <c r="Q13" s="21"/>
      <c r="R13" s="21"/>
      <c r="S13" s="22"/>
      <c r="T13" s="1"/>
    </row>
    <row r="14" spans="1:20" x14ac:dyDescent="0.4">
      <c r="A14" s="24"/>
      <c r="B14" s="24"/>
      <c r="C14" s="24"/>
      <c r="D14" s="24"/>
      <c r="E14" s="24"/>
      <c r="F14" s="24"/>
      <c r="G14" s="24"/>
      <c r="H14" s="24"/>
      <c r="I14" s="21"/>
      <c r="J14" s="24"/>
      <c r="K14" s="24"/>
      <c r="L14" s="24"/>
      <c r="M14" s="24"/>
      <c r="N14" s="24"/>
      <c r="O14" s="24"/>
      <c r="P14" s="24"/>
      <c r="Q14" s="21"/>
      <c r="R14" s="21"/>
      <c r="S14" s="25"/>
      <c r="T14" s="26"/>
    </row>
    <row r="15" spans="1:20" x14ac:dyDescent="0.4">
      <c r="A15" s="24"/>
      <c r="B15" s="24"/>
      <c r="C15" s="24"/>
      <c r="D15" s="24"/>
      <c r="E15" s="24"/>
      <c r="F15" s="24"/>
      <c r="G15" s="24"/>
      <c r="H15" s="24"/>
      <c r="I15" s="21"/>
      <c r="J15" s="24"/>
      <c r="K15" s="24"/>
      <c r="L15" s="24"/>
      <c r="M15" s="24"/>
      <c r="N15" s="24"/>
      <c r="O15" s="24"/>
      <c r="P15" s="24"/>
      <c r="Q15" s="24"/>
      <c r="R15" s="24"/>
      <c r="S15" s="25"/>
      <c r="T15" s="1"/>
    </row>
    <row r="16" spans="1:20" x14ac:dyDescent="0.4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5"/>
      <c r="T16" s="1"/>
    </row>
    <row r="17" spans="1:20" x14ac:dyDescent="0.4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2"/>
      <c r="T17" s="1"/>
    </row>
    <row r="18" spans="1:20" x14ac:dyDescent="0.4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2"/>
      <c r="T18" s="1"/>
    </row>
    <row r="19" spans="1:20" x14ac:dyDescent="0.4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2"/>
      <c r="T19" s="1"/>
    </row>
    <row r="20" spans="1:20" x14ac:dyDescent="0.4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2"/>
      <c r="T20" s="1"/>
    </row>
    <row r="21" spans="1:20" x14ac:dyDescent="0.4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2"/>
      <c r="T21" s="1"/>
    </row>
    <row r="22" spans="1:20" x14ac:dyDescent="0.4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2"/>
      <c r="T22" s="1"/>
    </row>
    <row r="23" spans="1:20" x14ac:dyDescent="0.4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2"/>
      <c r="T23" s="1"/>
    </row>
    <row r="24" spans="1:20" x14ac:dyDescent="0.4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2"/>
      <c r="T24" s="1"/>
    </row>
    <row r="25" spans="1:20" x14ac:dyDescent="0.4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2"/>
      <c r="T25" s="1"/>
    </row>
    <row r="26" spans="1:20" x14ac:dyDescent="0.4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2"/>
      <c r="T26" s="1"/>
    </row>
    <row r="27" spans="1:20" x14ac:dyDescent="0.4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2"/>
      <c r="T27" s="1"/>
    </row>
    <row r="28" spans="1:20" x14ac:dyDescent="0.4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2"/>
      <c r="T28" s="1"/>
    </row>
    <row r="29" spans="1:20" x14ac:dyDescent="0.4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2"/>
      <c r="T29" s="1"/>
    </row>
    <row r="30" spans="1:20" x14ac:dyDescent="0.4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2"/>
      <c r="T30" s="1"/>
    </row>
    <row r="31" spans="1:20" hidden="1" x14ac:dyDescent="0.4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2"/>
      <c r="T31" s="1"/>
    </row>
    <row r="32" spans="1:20" x14ac:dyDescent="0.4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2"/>
      <c r="T32" s="1"/>
    </row>
    <row r="33" spans="1:20" x14ac:dyDescent="0.4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2"/>
      <c r="T33" s="1"/>
    </row>
    <row r="34" spans="1:20" x14ac:dyDescent="0.4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2"/>
      <c r="T34" s="1"/>
    </row>
    <row r="35" spans="1:20" x14ac:dyDescent="0.4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2"/>
      <c r="T35" s="1"/>
    </row>
    <row r="36" spans="1:20" x14ac:dyDescent="0.4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2"/>
      <c r="T36" s="1"/>
    </row>
    <row r="37" spans="1:20" x14ac:dyDescent="0.4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2"/>
      <c r="T37" s="1"/>
    </row>
    <row r="41" spans="1:20" s="3" customFormat="1" ht="5.0999999999999996" customHeight="1" x14ac:dyDescent="0.4">
      <c r="T41"/>
    </row>
    <row r="44" spans="1:20" ht="5.0999999999999996" customHeight="1" x14ac:dyDescent="0.4"/>
  </sheetData>
  <sortState ref="P27:Q29">
    <sortCondition ref="P19:P26"/>
  </sortState>
  <mergeCells count="4">
    <mergeCell ref="A1:J1"/>
    <mergeCell ref="A3:S3"/>
    <mergeCell ref="K1:S1"/>
    <mergeCell ref="K2:S2"/>
  </mergeCells>
  <conditionalFormatting sqref="I7:I10 I16:I37">
    <cfRule type="cellIs" dxfId="55" priority="57" operator="equal">
      <formula>"RES 2"</formula>
    </cfRule>
    <cfRule type="cellIs" dxfId="54" priority="58" operator="equal">
      <formula>"RES 1"</formula>
    </cfRule>
  </conditionalFormatting>
  <conditionalFormatting sqref="E7:E37">
    <cfRule type="cellIs" dxfId="53" priority="55" operator="equal">
      <formula>"YP"</formula>
    </cfRule>
    <cfRule type="cellIs" dxfId="52" priority="56" operator="equal">
      <formula>"AD"</formula>
    </cfRule>
  </conditionalFormatting>
  <conditionalFormatting sqref="F7:F37">
    <cfRule type="cellIs" dxfId="51" priority="52" operator="equal">
      <formula>"STANDARD RISK"</formula>
    </cfRule>
    <cfRule type="cellIs" dxfId="50" priority="53" operator="equal">
      <formula>"HIGH CAN SHARE"</formula>
    </cfRule>
    <cfRule type="cellIs" dxfId="49" priority="54" operator="equal">
      <formula>"HIGH RISK"</formula>
    </cfRule>
  </conditionalFormatting>
  <conditionalFormatting sqref="G7:G37">
    <cfRule type="cellIs" dxfId="48" priority="50" operator="equal">
      <formula>"NO"</formula>
    </cfRule>
    <cfRule type="cellIs" dxfId="47" priority="51" operator="equal">
      <formula>"YES"</formula>
    </cfRule>
  </conditionalFormatting>
  <conditionalFormatting sqref="O7:O37">
    <cfRule type="cellIs" dxfId="46" priority="45" operator="equal">
      <formula>"NO"</formula>
    </cfRule>
    <cfRule type="cellIs" dxfId="45" priority="46" operator="equal">
      <formula>"Previous Acct"</formula>
    </cfRule>
    <cfRule type="cellIs" dxfId="44" priority="47" operator="equal">
      <formula>"YES"</formula>
    </cfRule>
  </conditionalFormatting>
  <conditionalFormatting sqref="N7:N37">
    <cfRule type="notContainsBlanks" dxfId="43" priority="44">
      <formula>LEN(TRIM(N7))&gt;0</formula>
    </cfRule>
  </conditionalFormatting>
  <conditionalFormatting sqref="K7:K37">
    <cfRule type="containsText" dxfId="42" priority="42" operator="containsText" text="Yes">
      <formula>NOT(ISERROR(SEARCH("Yes",K7)))</formula>
    </cfRule>
    <cfRule type="containsText" dxfId="41" priority="43" operator="containsText" text="No">
      <formula>NOT(ISERROR(SEARCH("No",K7)))</formula>
    </cfRule>
  </conditionalFormatting>
  <conditionalFormatting sqref="L7:M37">
    <cfRule type="containsText" dxfId="40" priority="40" operator="containsText" text="Yes">
      <formula>NOT(ISERROR(SEARCH("Yes",L7)))</formula>
    </cfRule>
    <cfRule type="containsText" dxfId="39" priority="41" operator="containsText" text="No">
      <formula>NOT(ISERROR(SEARCH("No",L7)))</formula>
    </cfRule>
  </conditionalFormatting>
  <conditionalFormatting sqref="H7:H37">
    <cfRule type="containsText" dxfId="38" priority="38" operator="containsText" text="No">
      <formula>NOT(ISERROR(SEARCH("No",H7)))</formula>
    </cfRule>
    <cfRule type="containsText" dxfId="37" priority="39" operator="containsText" text="Yes">
      <formula>NOT(ISERROR(SEARCH("Yes",H7)))</formula>
    </cfRule>
  </conditionalFormatting>
  <conditionalFormatting sqref="N7:N36">
    <cfRule type="containsText" dxfId="36" priority="37" operator="containsText" text="None">
      <formula>NOT(ISERROR(SEARCH("None",N7)))</formula>
    </cfRule>
  </conditionalFormatting>
  <conditionalFormatting sqref="I6">
    <cfRule type="cellIs" dxfId="35" priority="35" operator="equal">
      <formula>"RES 2"</formula>
    </cfRule>
    <cfRule type="cellIs" dxfId="34" priority="36" operator="equal">
      <formula>"RES 1"</formula>
    </cfRule>
  </conditionalFormatting>
  <conditionalFormatting sqref="E6">
    <cfRule type="cellIs" dxfId="33" priority="33" operator="equal">
      <formula>"YP"</formula>
    </cfRule>
    <cfRule type="cellIs" dxfId="32" priority="34" operator="equal">
      <formula>"AD"</formula>
    </cfRule>
  </conditionalFormatting>
  <conditionalFormatting sqref="F6">
    <cfRule type="cellIs" dxfId="31" priority="30" operator="equal">
      <formula>"STANDARD RISK"</formula>
    </cfRule>
    <cfRule type="cellIs" dxfId="30" priority="31" operator="equal">
      <formula>"HIGH CAN SHARE"</formula>
    </cfRule>
    <cfRule type="cellIs" dxfId="29" priority="32" operator="equal">
      <formula>"HIGH RISK"</formula>
    </cfRule>
  </conditionalFormatting>
  <conditionalFormatting sqref="G6">
    <cfRule type="cellIs" dxfId="28" priority="28" operator="equal">
      <formula>"NO"</formula>
    </cfRule>
    <cfRule type="cellIs" dxfId="27" priority="29" operator="equal">
      <formula>"YES"</formula>
    </cfRule>
  </conditionalFormatting>
  <conditionalFormatting sqref="O6">
    <cfRule type="cellIs" dxfId="26" priority="25" operator="equal">
      <formula>"NO"</formula>
    </cfRule>
    <cfRule type="cellIs" dxfId="25" priority="26" operator="equal">
      <formula>"Previous Acct"</formula>
    </cfRule>
    <cfRule type="cellIs" dxfId="24" priority="27" operator="equal">
      <formula>"YES"</formula>
    </cfRule>
  </conditionalFormatting>
  <conditionalFormatting sqref="N6">
    <cfRule type="notContainsBlanks" dxfId="23" priority="24">
      <formula>LEN(TRIM(N6))&gt;0</formula>
    </cfRule>
  </conditionalFormatting>
  <conditionalFormatting sqref="K6">
    <cfRule type="containsText" dxfId="22" priority="22" operator="containsText" text="Yes">
      <formula>NOT(ISERROR(SEARCH("Yes",K6)))</formula>
    </cfRule>
    <cfRule type="containsText" dxfId="21" priority="23" operator="containsText" text="No">
      <formula>NOT(ISERROR(SEARCH("No",K6)))</formula>
    </cfRule>
  </conditionalFormatting>
  <conditionalFormatting sqref="L6:M6">
    <cfRule type="containsText" dxfId="20" priority="20" operator="containsText" text="Yes">
      <formula>NOT(ISERROR(SEARCH("Yes",L6)))</formula>
    </cfRule>
    <cfRule type="containsText" dxfId="19" priority="21" operator="containsText" text="No">
      <formula>NOT(ISERROR(SEARCH("No",L6)))</formula>
    </cfRule>
  </conditionalFormatting>
  <conditionalFormatting sqref="H6">
    <cfRule type="containsText" dxfId="18" priority="18" operator="containsText" text="No">
      <formula>NOT(ISERROR(SEARCH("No",H6)))</formula>
    </cfRule>
    <cfRule type="containsText" dxfId="17" priority="19" operator="containsText" text="Yes">
      <formula>NOT(ISERROR(SEARCH("Yes",H6)))</formula>
    </cfRule>
  </conditionalFormatting>
  <conditionalFormatting sqref="N6">
    <cfRule type="containsText" dxfId="16" priority="17" operator="containsText" text="None">
      <formula>NOT(ISERROR(SEARCH("None",N6)))</formula>
    </cfRule>
  </conditionalFormatting>
  <conditionalFormatting sqref="P6:P8 P14:P37">
    <cfRule type="containsText" dxfId="15" priority="16" operator="containsText" text="HB7">
      <formula>NOT(ISERROR(SEARCH("HB7",P6)))</formula>
    </cfRule>
  </conditionalFormatting>
  <conditionalFormatting sqref="P10">
    <cfRule type="containsText" dxfId="14" priority="15" operator="containsText" text="HB7">
      <formula>NOT(ISERROR(SEARCH("HB7",P10)))</formula>
    </cfRule>
  </conditionalFormatting>
  <conditionalFormatting sqref="P9">
    <cfRule type="containsText" dxfId="13" priority="14" operator="containsText" text="HB7">
      <formula>NOT(ISERROR(SEARCH("HB7",P9)))</formula>
    </cfRule>
  </conditionalFormatting>
  <conditionalFormatting sqref="P13">
    <cfRule type="containsText" dxfId="12" priority="13" operator="containsText" text="HB7">
      <formula>NOT(ISERROR(SEARCH("HB7",P13)))</formula>
    </cfRule>
  </conditionalFormatting>
  <conditionalFormatting sqref="P12">
    <cfRule type="containsText" dxfId="11" priority="12" operator="containsText" text="HB7">
      <formula>NOT(ISERROR(SEARCH("HB7",P12)))</formula>
    </cfRule>
  </conditionalFormatting>
  <conditionalFormatting sqref="P11">
    <cfRule type="containsText" dxfId="10" priority="11" operator="containsText" text="HB7">
      <formula>NOT(ISERROR(SEARCH("HB7",P11)))</formula>
    </cfRule>
  </conditionalFormatting>
  <conditionalFormatting sqref="I11">
    <cfRule type="cellIs" dxfId="9" priority="9" operator="equal">
      <formula>"RES 2"</formula>
    </cfRule>
    <cfRule type="cellIs" dxfId="8" priority="10" operator="equal">
      <formula>"RES 1"</formula>
    </cfRule>
  </conditionalFormatting>
  <conditionalFormatting sqref="I12">
    <cfRule type="cellIs" dxfId="7" priority="7" operator="equal">
      <formula>"RES 2"</formula>
    </cfRule>
    <cfRule type="cellIs" dxfId="6" priority="8" operator="equal">
      <formula>"RES 1"</formula>
    </cfRule>
  </conditionalFormatting>
  <conditionalFormatting sqref="I15">
    <cfRule type="cellIs" dxfId="5" priority="5" operator="equal">
      <formula>"RES 2"</formula>
    </cfRule>
    <cfRule type="cellIs" dxfId="4" priority="6" operator="equal">
      <formula>"RES 1"</formula>
    </cfRule>
  </conditionalFormatting>
  <conditionalFormatting sqref="I14">
    <cfRule type="cellIs" dxfId="3" priority="3" operator="equal">
      <formula>"RES 2"</formula>
    </cfRule>
    <cfRule type="cellIs" dxfId="2" priority="4" operator="equal">
      <formula>"RES 1"</formula>
    </cfRule>
  </conditionalFormatting>
  <conditionalFormatting sqref="I13">
    <cfRule type="cellIs" dxfId="1" priority="1" operator="equal">
      <formula>"RES 2"</formula>
    </cfRule>
    <cfRule type="cellIs" dxfId="0" priority="2" operator="equal">
      <formula>"RES 1"</formula>
    </cfRule>
  </conditionalFormatting>
  <pageMargins left="0.25" right="0.25" top="0.75" bottom="0.75" header="0.3" footer="0.3"/>
  <pageSetup paperSize="9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2_Click">
                <anchor moveWithCells="1" sizeWithCells="1">
                  <from>
                    <xdr:col>6</xdr:col>
                    <xdr:colOff>7620</xdr:colOff>
                    <xdr:row>37</xdr:row>
                    <xdr:rowOff>259080</xdr:rowOff>
                  </from>
                  <to>
                    <xdr:col>8</xdr:col>
                    <xdr:colOff>30480</xdr:colOff>
                    <xdr:row>38</xdr:row>
                    <xdr:rowOff>259080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Data!$M$1:$M$10</xm:f>
          </x14:formula1>
          <xm:sqref>D6:D37</xm:sqref>
        </x14:dataValidation>
        <x14:dataValidation type="list" allowBlank="1" showInputMessage="1" showErrorMessage="1">
          <x14:formula1>
            <xm:f>Data!$B$1:$B$3</xm:f>
          </x14:formula1>
          <xm:sqref>F6:F37</xm:sqref>
        </x14:dataValidation>
        <x14:dataValidation type="list" allowBlank="1" showInputMessage="1" showErrorMessage="1">
          <x14:formula1>
            <xm:f>Data!$E$1:$E$2</xm:f>
          </x14:formula1>
          <xm:sqref>G6:H37 K6:L37</xm:sqref>
        </x14:dataValidation>
        <x14:dataValidation type="list" allowBlank="1" showInputMessage="1" showErrorMessage="1">
          <x14:formula1>
            <xm:f>Data!$I$1:$I$2</xm:f>
          </x14:formula1>
          <xm:sqref>E6:E37</xm:sqref>
        </x14:dataValidation>
        <x14:dataValidation type="list" allowBlank="1" showInputMessage="1" showErrorMessage="1">
          <x14:formula1>
            <xm:f>Data!$A$1:$A$180</xm:f>
          </x14:formula1>
          <xm:sqref>Q6:Q37</xm:sqref>
        </x14:dataValidation>
        <x14:dataValidation type="list" allowBlank="1" showInputMessage="1" showErrorMessage="1">
          <x14:formula1>
            <xm:f>Data!$E$15:$E$17</xm:f>
          </x14:formula1>
          <xm:sqref>R6:R37</xm:sqref>
        </x14:dataValidation>
        <x14:dataValidation type="list" allowBlank="1" showInputMessage="1" showErrorMessage="1">
          <x14:formula1>
            <xm:f>Data!$G$1:$G$9</xm:f>
          </x14:formula1>
          <xm:sqref>P6:P37</xm:sqref>
        </x14:dataValidation>
        <x14:dataValidation type="list" allowBlank="1" showInputMessage="1" showErrorMessage="1">
          <x14:formula1>
            <xm:f>Data!$F$28:$F$30</xm:f>
          </x14:formula1>
          <xm:sqref>J6:J37</xm:sqref>
        </x14:dataValidation>
        <x14:dataValidation type="list" allowBlank="1" showInputMessage="1" showErrorMessage="1">
          <x14:formula1>
            <xm:f>Data!$F$24:$F$25</xm:f>
          </x14:formula1>
          <xm:sqref>I6:I37</xm:sqref>
        </x14:dataValidation>
        <x14:dataValidation type="list" allowBlank="1" showInputMessage="1" showErrorMessage="1">
          <x14:formula1>
            <xm:f>Data!$K$1:$K$3</xm:f>
          </x14:formula1>
          <xm:sqref>O6:O37</xm:sqref>
        </x14:dataValidation>
        <x14:dataValidation type="list" allowBlank="1" showInputMessage="1" showErrorMessage="1">
          <x14:formula1>
            <xm:f>Data!$O$1:$O$9</xm:f>
          </x14:formula1>
          <xm:sqref>N6:N37</xm:sqref>
        </x14:dataValidation>
        <x14:dataValidation type="list" allowBlank="1" showInputMessage="1" showErrorMessage="1">
          <x14:formula1>
            <xm:f>Data!$Q$1:$Q$202</xm:f>
          </x14:formula1>
          <xm:sqref>M6:M37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B36" sqref="B36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3.33203125" style="74" customWidth="1"/>
    <col min="5" max="5" width="15" style="74" bestFit="1" customWidth="1"/>
    <col min="6" max="16384" width="9.109375" style="74"/>
  </cols>
  <sheetData>
    <row r="1" spans="1:10" ht="15.6" x14ac:dyDescent="0.3">
      <c r="C1" s="75" t="str">
        <f>'Movements Sheet'!C6</f>
        <v>A1234AA</v>
      </c>
      <c r="D1" s="75" t="str">
        <f>'Movements Sheet'!B6</f>
        <v>KIRSTY</v>
      </c>
      <c r="E1" s="90" t="str">
        <f>'Movements Sheet'!A6</f>
        <v>SAUNDERS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 t="str">
        <f>'Movements Sheet'!F6</f>
        <v>High Risk</v>
      </c>
    </row>
    <row r="7" spans="1:10" ht="15" thickBot="1" x14ac:dyDescent="0.35">
      <c r="A7" s="142"/>
      <c r="D7" s="92" t="s">
        <v>242</v>
      </c>
      <c r="E7" s="76" t="str">
        <f>'Movements Sheet'!J6</f>
        <v>BSC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 t="str">
        <f>'Movements Sheet'!H6</f>
        <v>No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 t="str">
        <f>'Movements Sheet'!K6</f>
        <v>No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6" t="s">
        <v>296</v>
      </c>
      <c r="E12" s="97" t="str">
        <f>'Movements Sheet'!L6</f>
        <v>No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 t="str">
        <f>'Movements Sheet'!N6</f>
        <v>Murder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124"/>
      <c r="E16" s="125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 t="str">
        <f>'Movements Sheet'!M6</f>
        <v>White British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 t="str">
        <f>'Movements Sheet'!S6</f>
        <v>RISK TO STAFF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0"/>
      <c r="E19" s="151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7">
    <mergeCell ref="A41:A53"/>
    <mergeCell ref="A5:A18"/>
    <mergeCell ref="D5:E5"/>
    <mergeCell ref="D10:E10"/>
    <mergeCell ref="D14:E14"/>
    <mergeCell ref="A19:A35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D18" sqref="D18:E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5.5546875" style="74" customWidth="1"/>
    <col min="5" max="5" width="15" style="74" bestFit="1" customWidth="1"/>
    <col min="6" max="16384" width="9.109375" style="74"/>
  </cols>
  <sheetData>
    <row r="1" spans="1:10" ht="15.6" x14ac:dyDescent="0.3">
      <c r="C1" s="75">
        <f>'Movements Sheet'!C7</f>
        <v>0</v>
      </c>
      <c r="D1" s="75">
        <f>'Movements Sheet'!B7</f>
        <v>0</v>
      </c>
      <c r="E1" s="90">
        <f>'Movements Sheet'!A7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Sheet'!F7</f>
        <v>0</v>
      </c>
    </row>
    <row r="7" spans="1:10" ht="15" thickBot="1" x14ac:dyDescent="0.35">
      <c r="A7" s="142"/>
      <c r="D7" s="92" t="s">
        <v>242</v>
      </c>
      <c r="E7" s="76">
        <f>'Movements Sheet'!J7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Sheet'!H7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Sheet'!K7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6" t="s">
        <v>296</v>
      </c>
      <c r="E12" s="97">
        <f>'Movements Sheet'!L7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Sheet'!N7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Sheet'!M7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>
        <f>'Movements Sheet'!S7</f>
        <v>0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0"/>
      <c r="E19" s="151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7">
    <mergeCell ref="A41:A53"/>
    <mergeCell ref="A5:A18"/>
    <mergeCell ref="D5:E5"/>
    <mergeCell ref="D10:E10"/>
    <mergeCell ref="D14:E14"/>
    <mergeCell ref="A19:A35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D18" sqref="D18:E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3.33203125" style="74" customWidth="1"/>
    <col min="5" max="5" width="16.109375" style="74" bestFit="1" customWidth="1"/>
    <col min="6" max="16384" width="9.109375" style="74"/>
  </cols>
  <sheetData>
    <row r="1" spans="1:10" ht="15.6" x14ac:dyDescent="0.3">
      <c r="C1" s="75">
        <f>'Movements Sheet'!C8</f>
        <v>0</v>
      </c>
      <c r="D1" s="75">
        <f>'Movements Sheet'!B8</f>
        <v>0</v>
      </c>
      <c r="E1" s="90">
        <f>'Movements Sheet'!A8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Sheet'!F8</f>
        <v>0</v>
      </c>
    </row>
    <row r="7" spans="1:10" ht="15" thickBot="1" x14ac:dyDescent="0.35">
      <c r="A7" s="142"/>
      <c r="D7" s="92" t="s">
        <v>242</v>
      </c>
      <c r="E7" s="76">
        <f>'Movements Sheet'!J8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Sheet'!H8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Sheet'!K8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6" t="s">
        <v>296</v>
      </c>
      <c r="E12" s="97">
        <f>'Movements Sheet'!L8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Sheet'!N8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Sheet'!M8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>
        <f>'Movements Sheet'!S8</f>
        <v>0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0"/>
      <c r="E19" s="151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7">
    <mergeCell ref="A41:A53"/>
    <mergeCell ref="A5:A18"/>
    <mergeCell ref="D5:E5"/>
    <mergeCell ref="D10:E10"/>
    <mergeCell ref="D14:E14"/>
    <mergeCell ref="A19:A35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D18" sqref="D18:E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3.33203125" style="74" customWidth="1"/>
    <col min="5" max="5" width="16.109375" style="74" bestFit="1" customWidth="1"/>
    <col min="6" max="16384" width="9.109375" style="74"/>
  </cols>
  <sheetData>
    <row r="1" spans="1:10" ht="15.6" x14ac:dyDescent="0.3">
      <c r="C1" s="75">
        <f>'Movements Sheet'!C9</f>
        <v>0</v>
      </c>
      <c r="D1" s="75">
        <f>'Movements Sheet'!B9</f>
        <v>0</v>
      </c>
      <c r="E1" s="90">
        <f>'Movements Sheet'!A9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Sheet'!F9</f>
        <v>0</v>
      </c>
    </row>
    <row r="7" spans="1:10" ht="15" thickBot="1" x14ac:dyDescent="0.35">
      <c r="A7" s="142"/>
      <c r="D7" s="92" t="s">
        <v>242</v>
      </c>
      <c r="E7" s="76">
        <f>'Movements Sheet'!J9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Sheet'!H9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Sheet'!K9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8" t="s">
        <v>296</v>
      </c>
      <c r="E12" s="99">
        <f>'Movements Sheet'!L9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Sheet'!N9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Sheet'!M9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>
        <f>'Movements Sheet'!S9</f>
        <v>0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0"/>
      <c r="E19" s="151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7">
    <mergeCell ref="A41:A53"/>
    <mergeCell ref="A5:A18"/>
    <mergeCell ref="D5:E5"/>
    <mergeCell ref="D10:E10"/>
    <mergeCell ref="D14:E14"/>
    <mergeCell ref="A19:A35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D18" sqref="D18:E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5.109375" style="74" customWidth="1"/>
    <col min="5" max="5" width="16.109375" style="74" bestFit="1" customWidth="1"/>
    <col min="6" max="16384" width="9.109375" style="74"/>
  </cols>
  <sheetData>
    <row r="1" spans="1:10" ht="15.6" x14ac:dyDescent="0.3">
      <c r="C1" s="75">
        <f>'Movements Sheet'!C10</f>
        <v>0</v>
      </c>
      <c r="D1" s="75">
        <f>'Movements Sheet'!B10</f>
        <v>0</v>
      </c>
      <c r="E1" s="90">
        <f>'Movements Sheet'!A10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Sheet'!F10</f>
        <v>0</v>
      </c>
    </row>
    <row r="7" spans="1:10" ht="15" thickBot="1" x14ac:dyDescent="0.35">
      <c r="A7" s="142"/>
      <c r="D7" s="92" t="s">
        <v>242</v>
      </c>
      <c r="E7" s="76">
        <f>'Movements Sheet'!J10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Sheet'!H10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Sheet'!K10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8" t="s">
        <v>296</v>
      </c>
      <c r="E12" s="99">
        <f>'Movements Sheet'!L10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Sheet'!N10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Sheet'!M10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>
        <f>'Movements Sheet'!S10</f>
        <v>0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0"/>
      <c r="E19" s="151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7">
    <mergeCell ref="A41:A53"/>
    <mergeCell ref="A5:A18"/>
    <mergeCell ref="D5:E5"/>
    <mergeCell ref="D10:E10"/>
    <mergeCell ref="D14:E14"/>
    <mergeCell ref="A19:A35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D18" sqref="D18:E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3.33203125" style="74" customWidth="1"/>
    <col min="5" max="5" width="16.109375" style="74" bestFit="1" customWidth="1"/>
    <col min="6" max="16384" width="9.109375" style="74"/>
  </cols>
  <sheetData>
    <row r="1" spans="1:10" ht="15.6" x14ac:dyDescent="0.3">
      <c r="C1" s="75">
        <f>'Movements Sheet'!C11</f>
        <v>0</v>
      </c>
      <c r="D1" s="75">
        <f>'Movements Sheet'!B11</f>
        <v>0</v>
      </c>
      <c r="E1" s="90">
        <f>'Movements Sheet'!A11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Sheet'!F11</f>
        <v>0</v>
      </c>
    </row>
    <row r="7" spans="1:10" ht="15" thickBot="1" x14ac:dyDescent="0.35">
      <c r="A7" s="142"/>
      <c r="D7" s="92" t="s">
        <v>242</v>
      </c>
      <c r="E7" s="76">
        <f>'Movements Sheet'!J11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Sheet'!H11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Sheet'!K11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8" t="s">
        <v>296</v>
      </c>
      <c r="E12" s="99">
        <f>'Movements Sheet'!L11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Sheet'!N11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Sheet'!M11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>
        <f>'Movements Sheet'!S11</f>
        <v>0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0"/>
      <c r="E19" s="151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00"/>
    </row>
    <row r="42" spans="1:1" x14ac:dyDescent="0.3">
      <c r="A42" s="100"/>
    </row>
    <row r="43" spans="1:1" x14ac:dyDescent="0.3">
      <c r="A43" s="100"/>
    </row>
    <row r="44" spans="1:1" x14ac:dyDescent="0.3">
      <c r="A44" s="100"/>
    </row>
    <row r="45" spans="1:1" x14ac:dyDescent="0.3">
      <c r="A45" s="100"/>
    </row>
    <row r="46" spans="1:1" x14ac:dyDescent="0.3">
      <c r="A46" s="100"/>
    </row>
    <row r="47" spans="1:1" x14ac:dyDescent="0.3">
      <c r="A47" s="100"/>
    </row>
    <row r="48" spans="1:1" x14ac:dyDescent="0.3">
      <c r="A48" s="100"/>
    </row>
    <row r="49" spans="1:1" x14ac:dyDescent="0.3">
      <c r="A49" s="100"/>
    </row>
    <row r="50" spans="1:1" x14ac:dyDescent="0.3">
      <c r="A50" s="100"/>
    </row>
    <row r="51" spans="1:1" x14ac:dyDescent="0.3">
      <c r="A51" s="100"/>
    </row>
    <row r="52" spans="1:1" x14ac:dyDescent="0.3">
      <c r="A52" s="100"/>
    </row>
    <row r="53" spans="1:1" x14ac:dyDescent="0.3">
      <c r="A53" s="100"/>
    </row>
  </sheetData>
  <mergeCells count="6">
    <mergeCell ref="A19:A35"/>
    <mergeCell ref="A5:A18"/>
    <mergeCell ref="D5:E5"/>
    <mergeCell ref="D10:E10"/>
    <mergeCell ref="D14:E14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D18" sqref="D18:E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3.33203125" style="74" customWidth="1"/>
    <col min="5" max="5" width="16.109375" style="74" bestFit="1" customWidth="1"/>
    <col min="6" max="16384" width="9.109375" style="74"/>
  </cols>
  <sheetData>
    <row r="1" spans="1:10" ht="15.6" x14ac:dyDescent="0.3">
      <c r="C1" s="75">
        <f>'Movements Sheet'!C12</f>
        <v>0</v>
      </c>
      <c r="D1" s="75">
        <f>'Movements Sheet'!B12</f>
        <v>0</v>
      </c>
      <c r="E1" s="90">
        <f>'Movements Sheet'!A12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Sheet'!F12</f>
        <v>0</v>
      </c>
    </row>
    <row r="7" spans="1:10" ht="15" thickBot="1" x14ac:dyDescent="0.35">
      <c r="A7" s="142"/>
      <c r="D7" s="92" t="s">
        <v>242</v>
      </c>
      <c r="E7" s="76">
        <f>'Movements Sheet'!J12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Sheet'!H12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Sheet'!K12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8" t="s">
        <v>296</v>
      </c>
      <c r="E12" s="99">
        <f>'Movements Sheet'!L12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Sheet'!N12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Sheet'!M12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>
        <f>'Movements Sheet'!S12</f>
        <v>0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00"/>
      <c r="D19" s="150"/>
      <c r="E19" s="151"/>
      <c r="F19" s="81"/>
      <c r="G19" s="81"/>
      <c r="H19" s="81"/>
      <c r="I19" s="81"/>
      <c r="J19" s="81"/>
    </row>
    <row r="20" spans="1:10" x14ac:dyDescent="0.3">
      <c r="A20" s="100"/>
    </row>
    <row r="21" spans="1:10" x14ac:dyDescent="0.3">
      <c r="A21" s="100"/>
    </row>
    <row r="22" spans="1:10" x14ac:dyDescent="0.3">
      <c r="A22" s="100"/>
    </row>
    <row r="23" spans="1:10" x14ac:dyDescent="0.3">
      <c r="A23" s="100"/>
    </row>
    <row r="24" spans="1:10" x14ac:dyDescent="0.3">
      <c r="A24" s="100"/>
    </row>
    <row r="25" spans="1:10" x14ac:dyDescent="0.3">
      <c r="A25" s="100"/>
    </row>
    <row r="26" spans="1:10" x14ac:dyDescent="0.3">
      <c r="A26" s="100"/>
    </row>
    <row r="27" spans="1:10" x14ac:dyDescent="0.3">
      <c r="A27" s="100"/>
    </row>
    <row r="28" spans="1:10" x14ac:dyDescent="0.3">
      <c r="A28" s="100"/>
    </row>
    <row r="29" spans="1:10" x14ac:dyDescent="0.3">
      <c r="A29" s="100"/>
    </row>
    <row r="30" spans="1:10" x14ac:dyDescent="0.3">
      <c r="A30" s="100"/>
    </row>
    <row r="31" spans="1:10" x14ac:dyDescent="0.3">
      <c r="A31" s="100"/>
    </row>
    <row r="32" spans="1:10" x14ac:dyDescent="0.3">
      <c r="A32" s="100"/>
    </row>
    <row r="33" spans="1:1" x14ac:dyDescent="0.3">
      <c r="A33" s="100"/>
    </row>
    <row r="34" spans="1:1" x14ac:dyDescent="0.3">
      <c r="A34" s="100"/>
    </row>
    <row r="35" spans="1:1" x14ac:dyDescent="0.3">
      <c r="A35" s="100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00"/>
    </row>
    <row r="42" spans="1:1" x14ac:dyDescent="0.3">
      <c r="A42" s="100"/>
    </row>
    <row r="43" spans="1:1" x14ac:dyDescent="0.3">
      <c r="A43" s="100"/>
    </row>
    <row r="44" spans="1:1" x14ac:dyDescent="0.3">
      <c r="A44" s="100"/>
    </row>
    <row r="45" spans="1:1" x14ac:dyDescent="0.3">
      <c r="A45" s="100"/>
    </row>
    <row r="46" spans="1:1" x14ac:dyDescent="0.3">
      <c r="A46" s="100"/>
    </row>
    <row r="47" spans="1:1" x14ac:dyDescent="0.3">
      <c r="A47" s="100"/>
    </row>
    <row r="48" spans="1:1" x14ac:dyDescent="0.3">
      <c r="A48" s="100"/>
    </row>
    <row r="49" spans="1:1" x14ac:dyDescent="0.3">
      <c r="A49" s="100"/>
    </row>
    <row r="50" spans="1:1" x14ac:dyDescent="0.3">
      <c r="A50" s="100"/>
    </row>
    <row r="51" spans="1:1" x14ac:dyDescent="0.3">
      <c r="A51" s="100"/>
    </row>
    <row r="52" spans="1:1" x14ac:dyDescent="0.3">
      <c r="A52" s="100"/>
    </row>
    <row r="53" spans="1:1" x14ac:dyDescent="0.3">
      <c r="A53" s="100"/>
    </row>
  </sheetData>
  <mergeCells count="5">
    <mergeCell ref="A5:A18"/>
    <mergeCell ref="D5:E5"/>
    <mergeCell ref="D10:E10"/>
    <mergeCell ref="D14:E14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D18" sqref="D18:E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3.33203125" style="74" customWidth="1"/>
    <col min="5" max="5" width="16.109375" style="74" bestFit="1" customWidth="1"/>
    <col min="6" max="16384" width="9.109375" style="74"/>
  </cols>
  <sheetData>
    <row r="1" spans="1:10" ht="15.6" x14ac:dyDescent="0.3">
      <c r="C1" s="75">
        <f>'Movements Sheet'!C13</f>
        <v>0</v>
      </c>
      <c r="D1" s="75">
        <f>'Movements Sheet'!B13</f>
        <v>0</v>
      </c>
      <c r="E1" s="90">
        <f>'Movements Sheet'!A13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Sheet'!F13</f>
        <v>0</v>
      </c>
    </row>
    <row r="7" spans="1:10" ht="15" thickBot="1" x14ac:dyDescent="0.35">
      <c r="A7" s="142"/>
      <c r="D7" s="92" t="s">
        <v>242</v>
      </c>
      <c r="E7" s="76">
        <f>'Movements Sheet'!J13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Sheet'!H13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Sheet'!K13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8" t="s">
        <v>296</v>
      </c>
      <c r="E12" s="99">
        <f>'Movements Sheet'!L13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Sheet'!N13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Sheet'!M13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52">
        <f>'Movements Sheet'!S13</f>
        <v>0</v>
      </c>
      <c r="E18" s="153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4"/>
      <c r="E19" s="155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7">
    <mergeCell ref="A41:A53"/>
    <mergeCell ref="A5:A18"/>
    <mergeCell ref="D5:E5"/>
    <mergeCell ref="D10:E10"/>
    <mergeCell ref="D14:E14"/>
    <mergeCell ref="A19:A35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D18" sqref="D18:E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3.33203125" style="74" customWidth="1"/>
    <col min="5" max="5" width="16.109375" style="74" bestFit="1" customWidth="1"/>
    <col min="6" max="16384" width="9.109375" style="74"/>
  </cols>
  <sheetData>
    <row r="1" spans="1:10" ht="15.6" x14ac:dyDescent="0.3">
      <c r="C1" s="75">
        <f>'Movements Sheet'!C14</f>
        <v>0</v>
      </c>
      <c r="D1" s="75">
        <f>'Movements Sheet'!B14</f>
        <v>0</v>
      </c>
      <c r="E1" s="90">
        <f>'Movements Sheet'!A14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Sheet'!F14</f>
        <v>0</v>
      </c>
    </row>
    <row r="7" spans="1:10" ht="15" thickBot="1" x14ac:dyDescent="0.35">
      <c r="A7" s="142"/>
      <c r="D7" s="92" t="s">
        <v>242</v>
      </c>
      <c r="E7" s="76">
        <f>'Movements Sheet'!J14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Sheet'!H14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Sheet'!K14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8" t="s">
        <v>296</v>
      </c>
      <c r="E12" s="99">
        <f>'Movements Sheet'!L14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Sheet'!N14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Sheet'!M14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>
        <f>'Movements Sheet'!S14</f>
        <v>0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0"/>
      <c r="E19" s="151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7">
    <mergeCell ref="A41:A53"/>
    <mergeCell ref="A5:A18"/>
    <mergeCell ref="D5:E5"/>
    <mergeCell ref="D10:E10"/>
    <mergeCell ref="D14:E14"/>
    <mergeCell ref="A19:A35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D18" sqref="D18:E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3.33203125" style="74" customWidth="1"/>
    <col min="5" max="5" width="16.109375" style="74" bestFit="1" customWidth="1"/>
    <col min="6" max="16384" width="9.109375" style="74"/>
  </cols>
  <sheetData>
    <row r="1" spans="1:10" ht="15.6" x14ac:dyDescent="0.3">
      <c r="C1" s="75">
        <f>'Movements Sheet'!C15</f>
        <v>0</v>
      </c>
      <c r="D1" s="75">
        <f>'Movements Sheet'!B15</f>
        <v>0</v>
      </c>
      <c r="E1" s="90">
        <f>'Movements Sheet'!A15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Sheet'!F15</f>
        <v>0</v>
      </c>
    </row>
    <row r="7" spans="1:10" ht="15" thickBot="1" x14ac:dyDescent="0.35">
      <c r="A7" s="142"/>
      <c r="D7" s="92" t="s">
        <v>242</v>
      </c>
      <c r="E7" s="76">
        <f>'Movements Sheet'!J15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Sheet'!H15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Sheet'!K15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8" t="s">
        <v>296</v>
      </c>
      <c r="E12" s="99">
        <f>'Movements Sheet'!L15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Sheet'!N15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Sheet'!M15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>
        <f>'Movements Sheet'!S15</f>
        <v>0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0"/>
      <c r="E19" s="151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7">
    <mergeCell ref="A41:A53"/>
    <mergeCell ref="A5:A18"/>
    <mergeCell ref="D5:E5"/>
    <mergeCell ref="D10:E10"/>
    <mergeCell ref="D14:E14"/>
    <mergeCell ref="A19:A35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D18" sqref="D18:E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3.33203125" style="74" customWidth="1"/>
    <col min="5" max="5" width="16.109375" style="74" bestFit="1" customWidth="1"/>
    <col min="6" max="16384" width="9.109375" style="74"/>
  </cols>
  <sheetData>
    <row r="1" spans="1:10" ht="15.6" x14ac:dyDescent="0.3">
      <c r="C1" s="75">
        <f>'Movements Sheet'!C16</f>
        <v>0</v>
      </c>
      <c r="D1" s="75">
        <f>'Movements Sheet'!B16</f>
        <v>0</v>
      </c>
      <c r="E1" s="90">
        <f>'Movements Sheet'!A16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Sheet'!F16</f>
        <v>0</v>
      </c>
    </row>
    <row r="7" spans="1:10" ht="15" thickBot="1" x14ac:dyDescent="0.35">
      <c r="A7" s="142"/>
      <c r="D7" s="92" t="s">
        <v>242</v>
      </c>
      <c r="E7" s="76">
        <f>'Movements Sheet'!J16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Sheet'!H16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Sheet'!K16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8" t="s">
        <v>296</v>
      </c>
      <c r="E12" s="99">
        <f>'Movements Sheet'!L16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Sheet'!N16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Sheet'!M16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>
        <f>'Movements Sheet'!S16</f>
        <v>0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0"/>
      <c r="E19" s="151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7">
    <mergeCell ref="A41:A53"/>
    <mergeCell ref="A5:A18"/>
    <mergeCell ref="D5:E5"/>
    <mergeCell ref="D10:E10"/>
    <mergeCell ref="D14:E14"/>
    <mergeCell ref="A19:A35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H19" sqref="H19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3.33203125" style="74" customWidth="1"/>
    <col min="5" max="5" width="16.109375" style="74" bestFit="1" customWidth="1"/>
    <col min="6" max="16384" width="9.109375" style="74"/>
  </cols>
  <sheetData>
    <row r="1" spans="1:10" ht="15.6" x14ac:dyDescent="0.3">
      <c r="C1" s="75">
        <f>'Movements Sheet'!C17</f>
        <v>0</v>
      </c>
      <c r="D1" s="75">
        <f>'Movements Sheet'!B17</f>
        <v>0</v>
      </c>
      <c r="E1" s="90">
        <f>'Movements Sheet'!A17</f>
        <v>0</v>
      </c>
    </row>
    <row r="4" spans="1:10" ht="15" thickBot="1" x14ac:dyDescent="0.35"/>
    <row r="5" spans="1:10" ht="15" customHeight="1" x14ac:dyDescent="0.3">
      <c r="A5" s="142"/>
      <c r="D5" s="143" t="s">
        <v>291</v>
      </c>
      <c r="E5" s="144"/>
    </row>
    <row r="6" spans="1:10" x14ac:dyDescent="0.3">
      <c r="A6" s="142"/>
      <c r="D6" s="91" t="s">
        <v>26</v>
      </c>
      <c r="E6" s="84">
        <f>'Movements Sheet'!F17</f>
        <v>0</v>
      </c>
    </row>
    <row r="7" spans="1:10" ht="15" thickBot="1" x14ac:dyDescent="0.35">
      <c r="A7" s="142"/>
      <c r="D7" s="92" t="s">
        <v>242</v>
      </c>
      <c r="E7" s="76">
        <f>'Movements Sheet'!J17</f>
        <v>0</v>
      </c>
      <c r="F7" s="77"/>
      <c r="G7" s="77"/>
      <c r="H7" s="77"/>
      <c r="I7" s="77"/>
    </row>
    <row r="8" spans="1:10" ht="15" thickBot="1" x14ac:dyDescent="0.35">
      <c r="A8" s="142"/>
      <c r="D8" s="79"/>
      <c r="E8" s="79"/>
      <c r="F8" s="78"/>
      <c r="G8" s="79"/>
      <c r="H8" s="79"/>
      <c r="I8" s="79"/>
    </row>
    <row r="9" spans="1:10" ht="15" thickBot="1" x14ac:dyDescent="0.35">
      <c r="A9" s="142"/>
      <c r="D9" s="93" t="s">
        <v>292</v>
      </c>
      <c r="E9" s="87">
        <f>'Movements Sheet'!H17</f>
        <v>0</v>
      </c>
      <c r="F9" s="78"/>
      <c r="G9" s="79"/>
      <c r="H9" s="79"/>
      <c r="I9" s="79"/>
    </row>
    <row r="10" spans="1:10" ht="15" thickBot="1" x14ac:dyDescent="0.35">
      <c r="A10" s="142"/>
      <c r="B10" s="80"/>
      <c r="D10" s="145"/>
      <c r="E10" s="145"/>
      <c r="F10" s="77"/>
      <c r="G10" s="77"/>
      <c r="H10" s="77"/>
      <c r="I10" s="77"/>
      <c r="J10" s="81"/>
    </row>
    <row r="11" spans="1:10" x14ac:dyDescent="0.3">
      <c r="A11" s="142"/>
      <c r="B11" s="80"/>
      <c r="D11" s="94" t="s">
        <v>295</v>
      </c>
      <c r="E11" s="88">
        <f>'Movements Sheet'!K17</f>
        <v>0</v>
      </c>
      <c r="F11" s="77"/>
      <c r="G11" s="77"/>
      <c r="H11" s="77"/>
      <c r="I11" s="77"/>
      <c r="J11" s="81"/>
    </row>
    <row r="12" spans="1:10" x14ac:dyDescent="0.3">
      <c r="A12" s="142"/>
      <c r="B12" s="80"/>
      <c r="D12" s="98" t="s">
        <v>296</v>
      </c>
      <c r="E12" s="99">
        <f>'Movements Sheet'!L17</f>
        <v>0</v>
      </c>
      <c r="F12" s="77"/>
      <c r="G12" s="77"/>
      <c r="H12" s="77"/>
      <c r="I12" s="77"/>
      <c r="J12" s="81"/>
    </row>
    <row r="13" spans="1:10" ht="15" thickBot="1" x14ac:dyDescent="0.35">
      <c r="A13" s="142"/>
      <c r="B13" s="80"/>
      <c r="D13" s="95" t="s">
        <v>305</v>
      </c>
      <c r="E13" s="89">
        <f>'Movements Sheet'!N17</f>
        <v>0</v>
      </c>
      <c r="F13" s="77"/>
      <c r="G13" s="77"/>
      <c r="H13" s="77"/>
      <c r="I13" s="77"/>
      <c r="J13" s="81"/>
    </row>
    <row r="14" spans="1:10" ht="15" thickBot="1" x14ac:dyDescent="0.35">
      <c r="A14" s="142"/>
      <c r="D14" s="146" t="s">
        <v>291</v>
      </c>
      <c r="E14" s="147"/>
      <c r="F14" s="78"/>
      <c r="G14" s="79"/>
      <c r="H14" s="79"/>
      <c r="I14" s="79"/>
      <c r="J14" s="81"/>
    </row>
    <row r="15" spans="1:10" x14ac:dyDescent="0.3">
      <c r="A15" s="142"/>
      <c r="D15" s="82">
        <f ca="1">TODAY()</f>
        <v>42822</v>
      </c>
      <c r="E15" s="85"/>
      <c r="F15" s="79"/>
      <c r="G15" s="79"/>
      <c r="H15" s="79"/>
      <c r="I15" s="79"/>
      <c r="J15" s="81"/>
    </row>
    <row r="16" spans="1:10" ht="16.2" thickBot="1" x14ac:dyDescent="0.35">
      <c r="A16" s="142"/>
      <c r="D16" s="86"/>
      <c r="E16" s="69" t="s">
        <v>289</v>
      </c>
      <c r="F16" s="81"/>
      <c r="G16" s="81"/>
      <c r="H16" s="81"/>
      <c r="I16" s="81"/>
      <c r="J16" s="81"/>
    </row>
    <row r="17" spans="1:10" ht="15.75" customHeight="1" thickBot="1" x14ac:dyDescent="0.35">
      <c r="A17" s="142"/>
      <c r="D17" s="127" t="s">
        <v>507</v>
      </c>
      <c r="E17" s="126">
        <f>'Movements Sheet'!M17</f>
        <v>0</v>
      </c>
      <c r="F17" s="81"/>
      <c r="G17" s="81"/>
      <c r="H17" s="81"/>
      <c r="I17" s="81"/>
      <c r="J17" s="81"/>
    </row>
    <row r="18" spans="1:10" ht="15.75" customHeight="1" x14ac:dyDescent="0.3">
      <c r="A18" s="142"/>
      <c r="D18" s="148">
        <f>'Movements Sheet'!S17</f>
        <v>0</v>
      </c>
      <c r="E18" s="149"/>
      <c r="F18" s="81"/>
      <c r="G18" s="81"/>
      <c r="H18" s="81"/>
      <c r="I18" s="81"/>
      <c r="J18" s="81"/>
    </row>
    <row r="19" spans="1:10" ht="15" customHeight="1" thickBot="1" x14ac:dyDescent="0.35">
      <c r="A19" s="141"/>
      <c r="D19" s="150"/>
      <c r="E19" s="151"/>
      <c r="F19" s="81"/>
      <c r="G19" s="81"/>
      <c r="H19" s="81"/>
      <c r="I19" s="81"/>
      <c r="J19" s="81"/>
    </row>
    <row r="20" spans="1:10" x14ac:dyDescent="0.3">
      <c r="A20" s="141"/>
    </row>
    <row r="21" spans="1:10" x14ac:dyDescent="0.3">
      <c r="A21" s="141"/>
    </row>
    <row r="22" spans="1:10" x14ac:dyDescent="0.3">
      <c r="A22" s="141"/>
    </row>
    <row r="23" spans="1:10" x14ac:dyDescent="0.3">
      <c r="A23" s="141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7">
    <mergeCell ref="A41:A53"/>
    <mergeCell ref="A5:A18"/>
    <mergeCell ref="D5:E5"/>
    <mergeCell ref="D10:E10"/>
    <mergeCell ref="D14:E14"/>
    <mergeCell ref="A19:A35"/>
    <mergeCell ref="D18:E19"/>
  </mergeCells>
  <pageMargins left="0.23622047244094491" right="0.23622047244094491" top="0" bottom="0.74803149606299213" header="0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  <pageSetUpPr fitToPage="1"/>
  </sheetPr>
  <dimension ref="A1:W16"/>
  <sheetViews>
    <sheetView zoomScale="77" zoomScaleNormal="77" workbookViewId="0">
      <selection activeCell="A13" sqref="A13:G13"/>
    </sheetView>
  </sheetViews>
  <sheetFormatPr defaultRowHeight="13.8" x14ac:dyDescent="0.25"/>
  <cols>
    <col min="3" max="3" width="4.6640625" customWidth="1"/>
  </cols>
  <sheetData>
    <row r="1" spans="1:23" ht="50.1" customHeight="1" thickTop="1" thickBot="1" x14ac:dyDescent="0.3">
      <c r="A1" s="156" t="s">
        <v>264</v>
      </c>
      <c r="B1" s="157"/>
      <c r="C1" s="157"/>
      <c r="D1" s="157"/>
      <c r="E1" s="157"/>
      <c r="F1" s="157"/>
      <c r="G1" s="158"/>
      <c r="I1" s="156" t="s">
        <v>264</v>
      </c>
      <c r="J1" s="157"/>
      <c r="K1" s="157"/>
      <c r="L1" s="157"/>
      <c r="M1" s="157"/>
      <c r="N1" s="157"/>
      <c r="O1" s="158"/>
      <c r="Q1" s="156" t="s">
        <v>264</v>
      </c>
      <c r="R1" s="157"/>
      <c r="S1" s="157"/>
      <c r="T1" s="157"/>
      <c r="U1" s="157"/>
      <c r="V1" s="157"/>
      <c r="W1" s="158"/>
    </row>
    <row r="2" spans="1:23" ht="50.1" customHeight="1" thickTop="1" thickBot="1" x14ac:dyDescent="0.3">
      <c r="A2" s="170" t="s">
        <v>265</v>
      </c>
      <c r="B2" s="171"/>
      <c r="C2" s="172"/>
      <c r="D2" s="176" t="s">
        <v>266</v>
      </c>
      <c r="E2" s="177"/>
      <c r="F2" s="177"/>
      <c r="G2" s="178"/>
      <c r="I2" s="170" t="s">
        <v>265</v>
      </c>
      <c r="J2" s="171"/>
      <c r="K2" s="172"/>
      <c r="L2" s="176" t="s">
        <v>266</v>
      </c>
      <c r="M2" s="177"/>
      <c r="N2" s="177"/>
      <c r="O2" s="178"/>
      <c r="Q2" s="170" t="s">
        <v>265</v>
      </c>
      <c r="R2" s="171"/>
      <c r="S2" s="172"/>
      <c r="T2" s="176" t="s">
        <v>266</v>
      </c>
      <c r="U2" s="177"/>
      <c r="V2" s="177"/>
      <c r="W2" s="178"/>
    </row>
    <row r="3" spans="1:23" ht="50.1" customHeight="1" thickTop="1" thickBot="1" x14ac:dyDescent="0.3">
      <c r="A3" s="170" t="s">
        <v>267</v>
      </c>
      <c r="B3" s="171"/>
      <c r="C3" s="172"/>
      <c r="D3" s="56" t="s">
        <v>268</v>
      </c>
      <c r="E3" s="168" t="str">
        <f>'Movements Sheet'!A6</f>
        <v>SAUNDERS</v>
      </c>
      <c r="F3" s="168"/>
      <c r="G3" s="169"/>
      <c r="I3" s="170" t="s">
        <v>267</v>
      </c>
      <c r="J3" s="171"/>
      <c r="K3" s="172"/>
      <c r="L3" s="56" t="s">
        <v>268</v>
      </c>
      <c r="M3" s="168">
        <f>'Movements Sheet'!A7</f>
        <v>0</v>
      </c>
      <c r="N3" s="168"/>
      <c r="O3" s="169"/>
      <c r="Q3" s="170" t="s">
        <v>267</v>
      </c>
      <c r="R3" s="171"/>
      <c r="S3" s="172"/>
      <c r="T3" s="56" t="s">
        <v>268</v>
      </c>
      <c r="U3" s="168">
        <f>'Movements Sheet'!A8</f>
        <v>0</v>
      </c>
      <c r="V3" s="168"/>
      <c r="W3" s="169"/>
    </row>
    <row r="4" spans="1:23" ht="75" customHeight="1" thickTop="1" thickBot="1" x14ac:dyDescent="0.3">
      <c r="A4" s="173" t="s">
        <v>269</v>
      </c>
      <c r="B4" s="174"/>
      <c r="C4" s="175"/>
      <c r="D4" s="167" t="str">
        <f>'Movements Sheet'!B6</f>
        <v>KIRSTY</v>
      </c>
      <c r="E4" s="168"/>
      <c r="F4" s="168"/>
      <c r="G4" s="169"/>
      <c r="I4" s="173" t="s">
        <v>269</v>
      </c>
      <c r="J4" s="174"/>
      <c r="K4" s="175"/>
      <c r="L4" s="167">
        <f>'Movements Sheet'!B7</f>
        <v>0</v>
      </c>
      <c r="M4" s="168"/>
      <c r="N4" s="168"/>
      <c r="O4" s="169"/>
      <c r="Q4" s="173" t="s">
        <v>269</v>
      </c>
      <c r="R4" s="174"/>
      <c r="S4" s="175"/>
      <c r="T4" s="167">
        <f>'Movements Sheet'!B8</f>
        <v>0</v>
      </c>
      <c r="U4" s="168"/>
      <c r="V4" s="168"/>
      <c r="W4" s="169"/>
    </row>
    <row r="5" spans="1:23" ht="50.1" customHeight="1" thickTop="1" thickBot="1" x14ac:dyDescent="0.3">
      <c r="A5" s="170" t="s">
        <v>270</v>
      </c>
      <c r="B5" s="171"/>
      <c r="C5" s="172"/>
      <c r="D5" s="167" t="str">
        <f>'Movements Sheet'!C6</f>
        <v>A1234AA</v>
      </c>
      <c r="E5" s="168"/>
      <c r="F5" s="168"/>
      <c r="G5" s="169"/>
      <c r="I5" s="170" t="s">
        <v>270</v>
      </c>
      <c r="J5" s="171"/>
      <c r="K5" s="172"/>
      <c r="L5" s="167">
        <f>'Movements Sheet'!C7</f>
        <v>0</v>
      </c>
      <c r="M5" s="168"/>
      <c r="N5" s="168"/>
      <c r="O5" s="169"/>
      <c r="Q5" s="170" t="s">
        <v>270</v>
      </c>
      <c r="R5" s="171"/>
      <c r="S5" s="172"/>
      <c r="T5" s="167">
        <f>'Movements Sheet'!C8</f>
        <v>0</v>
      </c>
      <c r="U5" s="168"/>
      <c r="V5" s="168"/>
      <c r="W5" s="169"/>
    </row>
    <row r="6" spans="1:23" ht="50.1" customHeight="1" thickTop="1" thickBot="1" x14ac:dyDescent="0.3">
      <c r="A6" s="170" t="s">
        <v>271</v>
      </c>
      <c r="B6" s="171"/>
      <c r="C6" s="172"/>
      <c r="D6" s="167" t="s">
        <v>266</v>
      </c>
      <c r="E6" s="168"/>
      <c r="F6" s="168"/>
      <c r="G6" s="169"/>
      <c r="I6" s="170" t="s">
        <v>271</v>
      </c>
      <c r="J6" s="171"/>
      <c r="K6" s="172"/>
      <c r="L6" s="167" t="s">
        <v>266</v>
      </c>
      <c r="M6" s="168"/>
      <c r="N6" s="168"/>
      <c r="O6" s="169"/>
      <c r="Q6" s="170" t="s">
        <v>271</v>
      </c>
      <c r="R6" s="171"/>
      <c r="S6" s="172"/>
      <c r="T6" s="167" t="s">
        <v>266</v>
      </c>
      <c r="U6" s="168"/>
      <c r="V6" s="168"/>
      <c r="W6" s="169"/>
    </row>
    <row r="7" spans="1:23" ht="50.1" customHeight="1" thickTop="1" thickBot="1" x14ac:dyDescent="0.3">
      <c r="A7" s="170" t="s">
        <v>272</v>
      </c>
      <c r="B7" s="171"/>
      <c r="C7" s="172"/>
      <c r="D7" s="167" t="s">
        <v>266</v>
      </c>
      <c r="E7" s="168"/>
      <c r="F7" s="168"/>
      <c r="G7" s="169"/>
      <c r="I7" s="170" t="s">
        <v>272</v>
      </c>
      <c r="J7" s="171"/>
      <c r="K7" s="172"/>
      <c r="L7" s="167" t="s">
        <v>266</v>
      </c>
      <c r="M7" s="168"/>
      <c r="N7" s="168"/>
      <c r="O7" s="169"/>
      <c r="Q7" s="170" t="s">
        <v>272</v>
      </c>
      <c r="R7" s="171"/>
      <c r="S7" s="172"/>
      <c r="T7" s="167" t="s">
        <v>266</v>
      </c>
      <c r="U7" s="168"/>
      <c r="V7" s="168"/>
      <c r="W7" s="169"/>
    </row>
    <row r="8" spans="1:23" ht="50.1" customHeight="1" thickTop="1" thickBot="1" x14ac:dyDescent="0.3">
      <c r="A8" s="156" t="s">
        <v>273</v>
      </c>
      <c r="B8" s="157"/>
      <c r="C8" s="157"/>
      <c r="D8" s="157"/>
      <c r="E8" s="157"/>
      <c r="F8" s="157"/>
      <c r="G8" s="158"/>
      <c r="I8" s="156" t="s">
        <v>273</v>
      </c>
      <c r="J8" s="157"/>
      <c r="K8" s="157"/>
      <c r="L8" s="157"/>
      <c r="M8" s="157"/>
      <c r="N8" s="157"/>
      <c r="O8" s="158"/>
      <c r="Q8" s="156" t="s">
        <v>273</v>
      </c>
      <c r="R8" s="157"/>
      <c r="S8" s="157"/>
      <c r="T8" s="157"/>
      <c r="U8" s="157"/>
      <c r="V8" s="157"/>
      <c r="W8" s="158"/>
    </row>
    <row r="9" spans="1:23" ht="99.9" customHeight="1" thickTop="1" thickBot="1" x14ac:dyDescent="0.3">
      <c r="A9" s="164" t="s">
        <v>266</v>
      </c>
      <c r="B9" s="165"/>
      <c r="C9" s="165"/>
      <c r="D9" s="165"/>
      <c r="E9" s="165"/>
      <c r="F9" s="165"/>
      <c r="G9" s="166"/>
      <c r="I9" s="164" t="s">
        <v>266</v>
      </c>
      <c r="J9" s="165"/>
      <c r="K9" s="165"/>
      <c r="L9" s="165"/>
      <c r="M9" s="165"/>
      <c r="N9" s="165"/>
      <c r="O9" s="166"/>
      <c r="Q9" s="164" t="s">
        <v>266</v>
      </c>
      <c r="R9" s="165"/>
      <c r="S9" s="165"/>
      <c r="T9" s="165"/>
      <c r="U9" s="165"/>
      <c r="V9" s="165"/>
      <c r="W9" s="166"/>
    </row>
    <row r="10" spans="1:23" ht="50.1" customHeight="1" thickTop="1" thickBot="1" x14ac:dyDescent="0.3">
      <c r="A10" s="156" t="s">
        <v>274</v>
      </c>
      <c r="B10" s="157"/>
      <c r="C10" s="157"/>
      <c r="D10" s="157"/>
      <c r="E10" s="157"/>
      <c r="F10" s="157"/>
      <c r="G10" s="158"/>
      <c r="I10" s="156" t="s">
        <v>274</v>
      </c>
      <c r="J10" s="157"/>
      <c r="K10" s="157"/>
      <c r="L10" s="157"/>
      <c r="M10" s="157"/>
      <c r="N10" s="157"/>
      <c r="O10" s="158"/>
      <c r="Q10" s="156" t="s">
        <v>274</v>
      </c>
      <c r="R10" s="157"/>
      <c r="S10" s="157"/>
      <c r="T10" s="157"/>
      <c r="U10" s="157"/>
      <c r="V10" s="157"/>
      <c r="W10" s="158"/>
    </row>
    <row r="11" spans="1:23" ht="50.1" customHeight="1" thickTop="1" thickBot="1" x14ac:dyDescent="0.3">
      <c r="A11" s="156" t="s">
        <v>275</v>
      </c>
      <c r="B11" s="157"/>
      <c r="C11" s="157"/>
      <c r="D11" s="158"/>
      <c r="E11" s="156" t="s">
        <v>276</v>
      </c>
      <c r="F11" s="157"/>
      <c r="G11" s="158"/>
      <c r="I11" s="156" t="s">
        <v>275</v>
      </c>
      <c r="J11" s="157"/>
      <c r="K11" s="157"/>
      <c r="L11" s="158"/>
      <c r="M11" s="156" t="s">
        <v>276</v>
      </c>
      <c r="N11" s="157"/>
      <c r="O11" s="158"/>
      <c r="Q11" s="156" t="s">
        <v>275</v>
      </c>
      <c r="R11" s="157"/>
      <c r="S11" s="157"/>
      <c r="T11" s="158"/>
      <c r="U11" s="156" t="s">
        <v>276</v>
      </c>
      <c r="V11" s="157"/>
      <c r="W11" s="158"/>
    </row>
    <row r="12" spans="1:23" ht="75" customHeight="1" thickTop="1" thickBot="1" x14ac:dyDescent="0.3">
      <c r="A12" s="164" t="s">
        <v>266</v>
      </c>
      <c r="B12" s="165"/>
      <c r="C12" s="165"/>
      <c r="D12" s="166"/>
      <c r="E12" s="164" t="s">
        <v>266</v>
      </c>
      <c r="F12" s="165"/>
      <c r="G12" s="166"/>
      <c r="I12" s="164" t="s">
        <v>266</v>
      </c>
      <c r="J12" s="165"/>
      <c r="K12" s="165"/>
      <c r="L12" s="166"/>
      <c r="M12" s="164" t="s">
        <v>266</v>
      </c>
      <c r="N12" s="165"/>
      <c r="O12" s="166"/>
      <c r="Q12" s="164" t="s">
        <v>266</v>
      </c>
      <c r="R12" s="165"/>
      <c r="S12" s="165"/>
      <c r="T12" s="166"/>
      <c r="U12" s="164" t="s">
        <v>266</v>
      </c>
      <c r="V12" s="165"/>
      <c r="W12" s="166"/>
    </row>
    <row r="13" spans="1:23" ht="50.1" customHeight="1" thickTop="1" thickBot="1" x14ac:dyDescent="0.3">
      <c r="A13" s="156" t="s">
        <v>277</v>
      </c>
      <c r="B13" s="157"/>
      <c r="C13" s="157"/>
      <c r="D13" s="157"/>
      <c r="E13" s="157"/>
      <c r="F13" s="157"/>
      <c r="G13" s="158"/>
      <c r="I13" s="156" t="s">
        <v>277</v>
      </c>
      <c r="J13" s="157"/>
      <c r="K13" s="157"/>
      <c r="L13" s="157"/>
      <c r="M13" s="157"/>
      <c r="N13" s="157"/>
      <c r="O13" s="158"/>
      <c r="Q13" s="156" t="s">
        <v>277</v>
      </c>
      <c r="R13" s="157"/>
      <c r="S13" s="157"/>
      <c r="T13" s="157"/>
      <c r="U13" s="157"/>
      <c r="V13" s="157"/>
      <c r="W13" s="158"/>
    </row>
    <row r="14" spans="1:23" ht="50.1" customHeight="1" thickTop="1" thickBot="1" x14ac:dyDescent="0.3">
      <c r="A14" s="159" t="str">
        <f>'Movements Sheet'!J6</f>
        <v>BSC</v>
      </c>
      <c r="B14" s="160"/>
      <c r="C14" s="160"/>
      <c r="D14" s="160"/>
      <c r="E14" s="160"/>
      <c r="F14" s="160"/>
      <c r="G14" s="161"/>
      <c r="I14" s="159">
        <f>'Movements Sheet'!J7</f>
        <v>0</v>
      </c>
      <c r="J14" s="162"/>
      <c r="K14" s="162"/>
      <c r="L14" s="162"/>
      <c r="M14" s="162"/>
      <c r="N14" s="162"/>
      <c r="O14" s="163"/>
      <c r="Q14" s="159">
        <f>'Movements Sheet'!J8</f>
        <v>0</v>
      </c>
      <c r="R14" s="162"/>
      <c r="S14" s="162"/>
      <c r="T14" s="162"/>
      <c r="U14" s="162"/>
      <c r="V14" s="162"/>
      <c r="W14" s="163"/>
    </row>
    <row r="15" spans="1:23" ht="14.4" thickTop="1" x14ac:dyDescent="0.25">
      <c r="A15" s="57"/>
      <c r="B15" s="57"/>
      <c r="C15" s="57"/>
      <c r="D15" s="57"/>
      <c r="E15" s="57"/>
      <c r="F15" s="57"/>
      <c r="G15" s="57"/>
    </row>
    <row r="16" spans="1:23" ht="15" x14ac:dyDescent="0.25">
      <c r="A16" s="58"/>
    </row>
  </sheetData>
  <mergeCells count="66">
    <mergeCell ref="U3:W3"/>
    <mergeCell ref="A1:G1"/>
    <mergeCell ref="I1:O1"/>
    <mergeCell ref="Q1:W1"/>
    <mergeCell ref="A2:C2"/>
    <mergeCell ref="D2:G2"/>
    <mergeCell ref="I2:K2"/>
    <mergeCell ref="L2:O2"/>
    <mergeCell ref="Q2:S2"/>
    <mergeCell ref="T2:W2"/>
    <mergeCell ref="A3:C3"/>
    <mergeCell ref="E3:G3"/>
    <mergeCell ref="I3:K3"/>
    <mergeCell ref="M3:O3"/>
    <mergeCell ref="Q3:S3"/>
    <mergeCell ref="T5:W5"/>
    <mergeCell ref="A4:C4"/>
    <mergeCell ref="D4:G4"/>
    <mergeCell ref="I4:K4"/>
    <mergeCell ref="L4:O4"/>
    <mergeCell ref="Q4:S4"/>
    <mergeCell ref="T4:W4"/>
    <mergeCell ref="A5:C5"/>
    <mergeCell ref="D5:G5"/>
    <mergeCell ref="I5:K5"/>
    <mergeCell ref="L5:O5"/>
    <mergeCell ref="Q5:S5"/>
    <mergeCell ref="T7:W7"/>
    <mergeCell ref="A6:C6"/>
    <mergeCell ref="D6:G6"/>
    <mergeCell ref="I6:K6"/>
    <mergeCell ref="L6:O6"/>
    <mergeCell ref="Q6:S6"/>
    <mergeCell ref="T6:W6"/>
    <mergeCell ref="A7:C7"/>
    <mergeCell ref="D7:G7"/>
    <mergeCell ref="I7:K7"/>
    <mergeCell ref="L7:O7"/>
    <mergeCell ref="Q7:S7"/>
    <mergeCell ref="A8:G8"/>
    <mergeCell ref="I8:O8"/>
    <mergeCell ref="Q8:W8"/>
    <mergeCell ref="A9:G9"/>
    <mergeCell ref="I9:O9"/>
    <mergeCell ref="Q9:W9"/>
    <mergeCell ref="U12:W12"/>
    <mergeCell ref="A10:G10"/>
    <mergeCell ref="I10:O10"/>
    <mergeCell ref="Q10:W10"/>
    <mergeCell ref="A11:D11"/>
    <mergeCell ref="E11:G11"/>
    <mergeCell ref="I11:L11"/>
    <mergeCell ref="M11:O11"/>
    <mergeCell ref="Q11:T11"/>
    <mergeCell ref="U11:W11"/>
    <mergeCell ref="A12:D12"/>
    <mergeCell ref="E12:G12"/>
    <mergeCell ref="I12:L12"/>
    <mergeCell ref="M12:O12"/>
    <mergeCell ref="Q12:T12"/>
    <mergeCell ref="A13:G13"/>
    <mergeCell ref="I13:O13"/>
    <mergeCell ref="Q13:W13"/>
    <mergeCell ref="A14:G14"/>
    <mergeCell ref="I14:O14"/>
    <mergeCell ref="Q14:W14"/>
  </mergeCells>
  <printOptions horizontalCentered="1" verticalCentered="1"/>
  <pageMargins left="0.23622047244094491" right="0.23622047244094491" top="0.19685039370078741" bottom="0.19685039370078741" header="0.11811023622047245" footer="0"/>
  <pageSetup paperSize="9" scale="70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  <pageSetUpPr fitToPage="1"/>
  </sheetPr>
  <dimension ref="A1:W16"/>
  <sheetViews>
    <sheetView zoomScale="77" zoomScaleNormal="77" workbookViewId="0">
      <selection activeCell="T6" sqref="T6:W6"/>
    </sheetView>
  </sheetViews>
  <sheetFormatPr defaultRowHeight="13.8" x14ac:dyDescent="0.25"/>
  <cols>
    <col min="3" max="3" width="4.6640625" customWidth="1"/>
  </cols>
  <sheetData>
    <row r="1" spans="1:23" ht="50.1" customHeight="1" thickTop="1" thickBot="1" x14ac:dyDescent="0.3">
      <c r="A1" s="156" t="s">
        <v>264</v>
      </c>
      <c r="B1" s="157"/>
      <c r="C1" s="157"/>
      <c r="D1" s="157"/>
      <c r="E1" s="157"/>
      <c r="F1" s="157"/>
      <c r="G1" s="158"/>
      <c r="I1" s="156" t="s">
        <v>264</v>
      </c>
      <c r="J1" s="157"/>
      <c r="K1" s="157"/>
      <c r="L1" s="157"/>
      <c r="M1" s="157"/>
      <c r="N1" s="157"/>
      <c r="O1" s="158"/>
      <c r="Q1" s="156" t="s">
        <v>264</v>
      </c>
      <c r="R1" s="157"/>
      <c r="S1" s="157"/>
      <c r="T1" s="157"/>
      <c r="U1" s="157"/>
      <c r="V1" s="157"/>
      <c r="W1" s="158"/>
    </row>
    <row r="2" spans="1:23" ht="50.1" customHeight="1" thickTop="1" thickBot="1" x14ac:dyDescent="0.3">
      <c r="A2" s="170" t="s">
        <v>265</v>
      </c>
      <c r="B2" s="171"/>
      <c r="C2" s="172"/>
      <c r="D2" s="176" t="s">
        <v>266</v>
      </c>
      <c r="E2" s="177"/>
      <c r="F2" s="177"/>
      <c r="G2" s="178"/>
      <c r="I2" s="170" t="s">
        <v>265</v>
      </c>
      <c r="J2" s="171"/>
      <c r="K2" s="172"/>
      <c r="L2" s="176" t="s">
        <v>266</v>
      </c>
      <c r="M2" s="177"/>
      <c r="N2" s="177"/>
      <c r="O2" s="178"/>
      <c r="Q2" s="170" t="s">
        <v>265</v>
      </c>
      <c r="R2" s="171"/>
      <c r="S2" s="172"/>
      <c r="T2" s="176" t="s">
        <v>266</v>
      </c>
      <c r="U2" s="177"/>
      <c r="V2" s="177"/>
      <c r="W2" s="178"/>
    </row>
    <row r="3" spans="1:23" ht="50.1" customHeight="1" thickTop="1" thickBot="1" x14ac:dyDescent="0.3">
      <c r="A3" s="170" t="s">
        <v>267</v>
      </c>
      <c r="B3" s="171"/>
      <c r="C3" s="172"/>
      <c r="D3" s="56" t="s">
        <v>268</v>
      </c>
      <c r="E3" s="168">
        <f>'Movements Sheet'!A9</f>
        <v>0</v>
      </c>
      <c r="F3" s="168"/>
      <c r="G3" s="169"/>
      <c r="I3" s="170" t="s">
        <v>267</v>
      </c>
      <c r="J3" s="171"/>
      <c r="K3" s="172"/>
      <c r="L3" s="56" t="s">
        <v>268</v>
      </c>
      <c r="M3" s="168">
        <f>'Movements Sheet'!A10</f>
        <v>0</v>
      </c>
      <c r="N3" s="168"/>
      <c r="O3" s="169"/>
      <c r="Q3" s="170" t="s">
        <v>267</v>
      </c>
      <c r="R3" s="171"/>
      <c r="S3" s="172"/>
      <c r="T3" s="56" t="s">
        <v>268</v>
      </c>
      <c r="U3" s="168">
        <f>'Movements Sheet'!A11</f>
        <v>0</v>
      </c>
      <c r="V3" s="168"/>
      <c r="W3" s="169"/>
    </row>
    <row r="4" spans="1:23" ht="75" customHeight="1" thickTop="1" thickBot="1" x14ac:dyDescent="0.3">
      <c r="A4" s="173" t="s">
        <v>269</v>
      </c>
      <c r="B4" s="174"/>
      <c r="C4" s="175"/>
      <c r="D4" s="167">
        <f>'Movements Sheet'!B9</f>
        <v>0</v>
      </c>
      <c r="E4" s="168"/>
      <c r="F4" s="168"/>
      <c r="G4" s="169"/>
      <c r="I4" s="173" t="s">
        <v>269</v>
      </c>
      <c r="J4" s="174"/>
      <c r="K4" s="175"/>
      <c r="L4" s="167">
        <f>'Movements Sheet'!B10</f>
        <v>0</v>
      </c>
      <c r="M4" s="168"/>
      <c r="N4" s="168"/>
      <c r="O4" s="169"/>
      <c r="Q4" s="173" t="s">
        <v>269</v>
      </c>
      <c r="R4" s="174"/>
      <c r="S4" s="175"/>
      <c r="T4" s="167">
        <f>'Movements Sheet'!B11</f>
        <v>0</v>
      </c>
      <c r="U4" s="168"/>
      <c r="V4" s="168"/>
      <c r="W4" s="169"/>
    </row>
    <row r="5" spans="1:23" ht="50.1" customHeight="1" thickTop="1" thickBot="1" x14ac:dyDescent="0.3">
      <c r="A5" s="170" t="s">
        <v>270</v>
      </c>
      <c r="B5" s="171"/>
      <c r="C5" s="172"/>
      <c r="D5" s="167">
        <f>'Movements Sheet'!C9</f>
        <v>0</v>
      </c>
      <c r="E5" s="168"/>
      <c r="F5" s="168"/>
      <c r="G5" s="169"/>
      <c r="I5" s="170" t="s">
        <v>270</v>
      </c>
      <c r="J5" s="171"/>
      <c r="K5" s="172"/>
      <c r="L5" s="167">
        <f>'Movements Sheet'!C10</f>
        <v>0</v>
      </c>
      <c r="M5" s="168"/>
      <c r="N5" s="168"/>
      <c r="O5" s="169"/>
      <c r="Q5" s="170" t="s">
        <v>270</v>
      </c>
      <c r="R5" s="171"/>
      <c r="S5" s="172"/>
      <c r="T5" s="179">
        <f>'Movements Sheet'!C11</f>
        <v>0</v>
      </c>
      <c r="U5" s="180"/>
      <c r="V5" s="180"/>
      <c r="W5" s="181"/>
    </row>
    <row r="6" spans="1:23" ht="50.1" customHeight="1" thickTop="1" thickBot="1" x14ac:dyDescent="0.3">
      <c r="A6" s="170" t="s">
        <v>271</v>
      </c>
      <c r="B6" s="171"/>
      <c r="C6" s="172"/>
      <c r="D6" s="167" t="s">
        <v>266</v>
      </c>
      <c r="E6" s="168"/>
      <c r="F6" s="168"/>
      <c r="G6" s="169"/>
      <c r="I6" s="170" t="s">
        <v>271</v>
      </c>
      <c r="J6" s="171"/>
      <c r="K6" s="172"/>
      <c r="L6" s="167" t="s">
        <v>266</v>
      </c>
      <c r="M6" s="168"/>
      <c r="N6" s="168"/>
      <c r="O6" s="169"/>
      <c r="Q6" s="170" t="s">
        <v>271</v>
      </c>
      <c r="R6" s="171"/>
      <c r="S6" s="172"/>
      <c r="T6" s="167" t="s">
        <v>266</v>
      </c>
      <c r="U6" s="168"/>
      <c r="V6" s="168"/>
      <c r="W6" s="169"/>
    </row>
    <row r="7" spans="1:23" ht="50.1" customHeight="1" thickTop="1" thickBot="1" x14ac:dyDescent="0.3">
      <c r="A7" s="170" t="s">
        <v>272</v>
      </c>
      <c r="B7" s="171"/>
      <c r="C7" s="172"/>
      <c r="D7" s="167" t="s">
        <v>266</v>
      </c>
      <c r="E7" s="168"/>
      <c r="F7" s="168"/>
      <c r="G7" s="169"/>
      <c r="I7" s="170" t="s">
        <v>272</v>
      </c>
      <c r="J7" s="171"/>
      <c r="K7" s="172"/>
      <c r="L7" s="167" t="s">
        <v>266</v>
      </c>
      <c r="M7" s="168"/>
      <c r="N7" s="168"/>
      <c r="O7" s="169"/>
      <c r="Q7" s="170" t="s">
        <v>272</v>
      </c>
      <c r="R7" s="171"/>
      <c r="S7" s="172"/>
      <c r="T7" s="167" t="s">
        <v>266</v>
      </c>
      <c r="U7" s="168"/>
      <c r="V7" s="168"/>
      <c r="W7" s="169"/>
    </row>
    <row r="8" spans="1:23" ht="50.1" customHeight="1" thickTop="1" thickBot="1" x14ac:dyDescent="0.3">
      <c r="A8" s="156" t="s">
        <v>273</v>
      </c>
      <c r="B8" s="157"/>
      <c r="C8" s="157"/>
      <c r="D8" s="157"/>
      <c r="E8" s="157"/>
      <c r="F8" s="157"/>
      <c r="G8" s="158"/>
      <c r="I8" s="156" t="s">
        <v>273</v>
      </c>
      <c r="J8" s="157"/>
      <c r="K8" s="157"/>
      <c r="L8" s="157"/>
      <c r="M8" s="157"/>
      <c r="N8" s="157"/>
      <c r="O8" s="158"/>
      <c r="Q8" s="156" t="s">
        <v>273</v>
      </c>
      <c r="R8" s="157"/>
      <c r="S8" s="157"/>
      <c r="T8" s="157"/>
      <c r="U8" s="157"/>
      <c r="V8" s="157"/>
      <c r="W8" s="158"/>
    </row>
    <row r="9" spans="1:23" ht="99.9" customHeight="1" thickTop="1" thickBot="1" x14ac:dyDescent="0.3">
      <c r="A9" s="164" t="s">
        <v>266</v>
      </c>
      <c r="B9" s="165"/>
      <c r="C9" s="165"/>
      <c r="D9" s="165"/>
      <c r="E9" s="165"/>
      <c r="F9" s="165"/>
      <c r="G9" s="166"/>
      <c r="I9" s="164" t="s">
        <v>266</v>
      </c>
      <c r="J9" s="165"/>
      <c r="K9" s="165"/>
      <c r="L9" s="165"/>
      <c r="M9" s="165"/>
      <c r="N9" s="165"/>
      <c r="O9" s="166"/>
      <c r="Q9" s="164" t="s">
        <v>266</v>
      </c>
      <c r="R9" s="165"/>
      <c r="S9" s="165"/>
      <c r="T9" s="165"/>
      <c r="U9" s="165"/>
      <c r="V9" s="165"/>
      <c r="W9" s="166"/>
    </row>
    <row r="10" spans="1:23" ht="50.1" customHeight="1" thickTop="1" thickBot="1" x14ac:dyDescent="0.3">
      <c r="A10" s="156" t="s">
        <v>274</v>
      </c>
      <c r="B10" s="157"/>
      <c r="C10" s="157"/>
      <c r="D10" s="157"/>
      <c r="E10" s="157"/>
      <c r="F10" s="157"/>
      <c r="G10" s="158"/>
      <c r="I10" s="156" t="s">
        <v>274</v>
      </c>
      <c r="J10" s="157"/>
      <c r="K10" s="157"/>
      <c r="L10" s="157"/>
      <c r="M10" s="157"/>
      <c r="N10" s="157"/>
      <c r="O10" s="158"/>
      <c r="Q10" s="156" t="s">
        <v>274</v>
      </c>
      <c r="R10" s="157"/>
      <c r="S10" s="157"/>
      <c r="T10" s="157"/>
      <c r="U10" s="157"/>
      <c r="V10" s="157"/>
      <c r="W10" s="158"/>
    </row>
    <row r="11" spans="1:23" ht="50.1" customHeight="1" thickTop="1" thickBot="1" x14ac:dyDescent="0.3">
      <c r="A11" s="156" t="s">
        <v>275</v>
      </c>
      <c r="B11" s="157"/>
      <c r="C11" s="157"/>
      <c r="D11" s="158"/>
      <c r="E11" s="156" t="s">
        <v>276</v>
      </c>
      <c r="F11" s="157"/>
      <c r="G11" s="158"/>
      <c r="I11" s="156" t="s">
        <v>275</v>
      </c>
      <c r="J11" s="157"/>
      <c r="K11" s="157"/>
      <c r="L11" s="158"/>
      <c r="M11" s="156" t="s">
        <v>276</v>
      </c>
      <c r="N11" s="157"/>
      <c r="O11" s="158"/>
      <c r="Q11" s="156" t="s">
        <v>275</v>
      </c>
      <c r="R11" s="157"/>
      <c r="S11" s="157"/>
      <c r="T11" s="158"/>
      <c r="U11" s="156" t="s">
        <v>276</v>
      </c>
      <c r="V11" s="157"/>
      <c r="W11" s="158"/>
    </row>
    <row r="12" spans="1:23" ht="75" customHeight="1" thickTop="1" thickBot="1" x14ac:dyDescent="0.3">
      <c r="A12" s="164" t="s">
        <v>266</v>
      </c>
      <c r="B12" s="165"/>
      <c r="C12" s="165"/>
      <c r="D12" s="166"/>
      <c r="E12" s="164" t="s">
        <v>266</v>
      </c>
      <c r="F12" s="165"/>
      <c r="G12" s="166"/>
      <c r="I12" s="164" t="s">
        <v>266</v>
      </c>
      <c r="J12" s="165"/>
      <c r="K12" s="165"/>
      <c r="L12" s="166"/>
      <c r="M12" s="164" t="s">
        <v>266</v>
      </c>
      <c r="N12" s="165"/>
      <c r="O12" s="166"/>
      <c r="Q12" s="164" t="s">
        <v>266</v>
      </c>
      <c r="R12" s="165"/>
      <c r="S12" s="165"/>
      <c r="T12" s="166"/>
      <c r="U12" s="164" t="s">
        <v>266</v>
      </c>
      <c r="V12" s="165"/>
      <c r="W12" s="166"/>
    </row>
    <row r="13" spans="1:23" ht="50.1" customHeight="1" thickTop="1" thickBot="1" x14ac:dyDescent="0.3">
      <c r="A13" s="156" t="s">
        <v>277</v>
      </c>
      <c r="B13" s="157"/>
      <c r="C13" s="157"/>
      <c r="D13" s="157"/>
      <c r="E13" s="157"/>
      <c r="F13" s="157"/>
      <c r="G13" s="158"/>
      <c r="I13" s="156" t="s">
        <v>277</v>
      </c>
      <c r="J13" s="157"/>
      <c r="K13" s="157"/>
      <c r="L13" s="157"/>
      <c r="M13" s="157"/>
      <c r="N13" s="157"/>
      <c r="O13" s="158"/>
      <c r="Q13" s="156" t="s">
        <v>277</v>
      </c>
      <c r="R13" s="157"/>
      <c r="S13" s="157"/>
      <c r="T13" s="157"/>
      <c r="U13" s="157"/>
      <c r="V13" s="157"/>
      <c r="W13" s="158"/>
    </row>
    <row r="14" spans="1:23" ht="50.1" customHeight="1" thickTop="1" thickBot="1" x14ac:dyDescent="0.3">
      <c r="A14" s="159">
        <f>'Movements Sheet'!J9</f>
        <v>0</v>
      </c>
      <c r="B14" s="162"/>
      <c r="C14" s="162"/>
      <c r="D14" s="162"/>
      <c r="E14" s="162"/>
      <c r="F14" s="162"/>
      <c r="G14" s="163"/>
      <c r="I14" s="159">
        <f>'Movements Sheet'!J10</f>
        <v>0</v>
      </c>
      <c r="J14" s="162"/>
      <c r="K14" s="162"/>
      <c r="L14" s="162"/>
      <c r="M14" s="162"/>
      <c r="N14" s="162"/>
      <c r="O14" s="163"/>
      <c r="Q14" s="159">
        <f>'Movements Sheet'!J11</f>
        <v>0</v>
      </c>
      <c r="R14" s="162"/>
      <c r="S14" s="162"/>
      <c r="T14" s="162"/>
      <c r="U14" s="162"/>
      <c r="V14" s="162"/>
      <c r="W14" s="163"/>
    </row>
    <row r="15" spans="1:23" ht="14.4" thickTop="1" x14ac:dyDescent="0.25">
      <c r="A15" s="57"/>
      <c r="B15" s="57"/>
      <c r="C15" s="57"/>
      <c r="D15" s="57"/>
      <c r="E15" s="57"/>
      <c r="F15" s="57"/>
      <c r="G15" s="57"/>
    </row>
    <row r="16" spans="1:23" ht="15" x14ac:dyDescent="0.25">
      <c r="A16" s="58"/>
    </row>
  </sheetData>
  <mergeCells count="66">
    <mergeCell ref="U3:W3"/>
    <mergeCell ref="A1:G1"/>
    <mergeCell ref="I1:O1"/>
    <mergeCell ref="Q1:W1"/>
    <mergeCell ref="A2:C2"/>
    <mergeCell ref="D2:G2"/>
    <mergeCell ref="I2:K2"/>
    <mergeCell ref="L2:O2"/>
    <mergeCell ref="Q2:S2"/>
    <mergeCell ref="T2:W2"/>
    <mergeCell ref="A3:C3"/>
    <mergeCell ref="E3:G3"/>
    <mergeCell ref="I3:K3"/>
    <mergeCell ref="M3:O3"/>
    <mergeCell ref="Q3:S3"/>
    <mergeCell ref="T5:W5"/>
    <mergeCell ref="A4:C4"/>
    <mergeCell ref="D4:G4"/>
    <mergeCell ref="I4:K4"/>
    <mergeCell ref="L4:O4"/>
    <mergeCell ref="Q4:S4"/>
    <mergeCell ref="T4:W4"/>
    <mergeCell ref="A5:C5"/>
    <mergeCell ref="D5:G5"/>
    <mergeCell ref="I5:K5"/>
    <mergeCell ref="L5:O5"/>
    <mergeCell ref="Q5:S5"/>
    <mergeCell ref="T7:W7"/>
    <mergeCell ref="A6:C6"/>
    <mergeCell ref="D6:G6"/>
    <mergeCell ref="I6:K6"/>
    <mergeCell ref="L6:O6"/>
    <mergeCell ref="Q6:S6"/>
    <mergeCell ref="T6:W6"/>
    <mergeCell ref="A7:C7"/>
    <mergeCell ref="D7:G7"/>
    <mergeCell ref="I7:K7"/>
    <mergeCell ref="L7:O7"/>
    <mergeCell ref="Q7:S7"/>
    <mergeCell ref="A8:G8"/>
    <mergeCell ref="I8:O8"/>
    <mergeCell ref="Q8:W8"/>
    <mergeCell ref="A9:G9"/>
    <mergeCell ref="I9:O9"/>
    <mergeCell ref="Q9:W9"/>
    <mergeCell ref="U12:W12"/>
    <mergeCell ref="A10:G10"/>
    <mergeCell ref="I10:O10"/>
    <mergeCell ref="Q10:W10"/>
    <mergeCell ref="A11:D11"/>
    <mergeCell ref="E11:G11"/>
    <mergeCell ref="I11:L11"/>
    <mergeCell ref="M11:O11"/>
    <mergeCell ref="Q11:T11"/>
    <mergeCell ref="U11:W11"/>
    <mergeCell ref="A12:D12"/>
    <mergeCell ref="E12:G12"/>
    <mergeCell ref="I12:L12"/>
    <mergeCell ref="M12:O12"/>
    <mergeCell ref="Q12:T12"/>
    <mergeCell ref="A13:G13"/>
    <mergeCell ref="I13:O13"/>
    <mergeCell ref="Q13:W13"/>
    <mergeCell ref="A14:G14"/>
    <mergeCell ref="I14:O14"/>
    <mergeCell ref="Q14:W14"/>
  </mergeCells>
  <printOptions horizontalCentered="1" verticalCentered="1"/>
  <pageMargins left="0.23622047244094491" right="0.23622047244094491" top="0.19685039370078741" bottom="0.19685039370078741" header="0.11811023622047245" footer="0"/>
  <pageSetup paperSize="9" scale="70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  <pageSetUpPr fitToPage="1"/>
  </sheetPr>
  <dimension ref="A1:W16"/>
  <sheetViews>
    <sheetView zoomScale="77" zoomScaleNormal="77" workbookViewId="0">
      <selection activeCell="T5" sqref="T5:W5"/>
    </sheetView>
  </sheetViews>
  <sheetFormatPr defaultRowHeight="13.8" x14ac:dyDescent="0.25"/>
  <cols>
    <col min="3" max="3" width="4.6640625" customWidth="1"/>
  </cols>
  <sheetData>
    <row r="1" spans="1:23" ht="50.1" customHeight="1" thickTop="1" thickBot="1" x14ac:dyDescent="0.3">
      <c r="A1" s="156" t="s">
        <v>264</v>
      </c>
      <c r="B1" s="157"/>
      <c r="C1" s="157"/>
      <c r="D1" s="157"/>
      <c r="E1" s="157"/>
      <c r="F1" s="157"/>
      <c r="G1" s="158"/>
      <c r="I1" s="156" t="s">
        <v>264</v>
      </c>
      <c r="J1" s="157"/>
      <c r="K1" s="157"/>
      <c r="L1" s="157"/>
      <c r="M1" s="157"/>
      <c r="N1" s="157"/>
      <c r="O1" s="158"/>
      <c r="Q1" s="156" t="s">
        <v>264</v>
      </c>
      <c r="R1" s="157"/>
      <c r="S1" s="157"/>
      <c r="T1" s="157"/>
      <c r="U1" s="157"/>
      <c r="V1" s="157"/>
      <c r="W1" s="158"/>
    </row>
    <row r="2" spans="1:23" ht="50.1" customHeight="1" thickTop="1" thickBot="1" x14ac:dyDescent="0.3">
      <c r="A2" s="170" t="s">
        <v>265</v>
      </c>
      <c r="B2" s="171"/>
      <c r="C2" s="172"/>
      <c r="D2" s="176" t="s">
        <v>266</v>
      </c>
      <c r="E2" s="177"/>
      <c r="F2" s="177"/>
      <c r="G2" s="178"/>
      <c r="I2" s="170" t="s">
        <v>265</v>
      </c>
      <c r="J2" s="171"/>
      <c r="K2" s="172"/>
      <c r="L2" s="176" t="s">
        <v>266</v>
      </c>
      <c r="M2" s="177"/>
      <c r="N2" s="177"/>
      <c r="O2" s="178"/>
      <c r="Q2" s="170" t="s">
        <v>265</v>
      </c>
      <c r="R2" s="171"/>
      <c r="S2" s="172"/>
      <c r="T2" s="176" t="s">
        <v>266</v>
      </c>
      <c r="U2" s="177"/>
      <c r="V2" s="177"/>
      <c r="W2" s="178"/>
    </row>
    <row r="3" spans="1:23" ht="50.1" customHeight="1" thickTop="1" thickBot="1" x14ac:dyDescent="0.3">
      <c r="A3" s="170" t="s">
        <v>267</v>
      </c>
      <c r="B3" s="171"/>
      <c r="C3" s="172"/>
      <c r="D3" s="56" t="s">
        <v>268</v>
      </c>
      <c r="E3" s="168">
        <f>'Movements Sheet'!A12</f>
        <v>0</v>
      </c>
      <c r="F3" s="168"/>
      <c r="G3" s="169"/>
      <c r="I3" s="170" t="s">
        <v>267</v>
      </c>
      <c r="J3" s="171"/>
      <c r="K3" s="172"/>
      <c r="L3" s="56" t="s">
        <v>268</v>
      </c>
      <c r="M3" s="168">
        <f>'Movements Sheet'!A13</f>
        <v>0</v>
      </c>
      <c r="N3" s="168"/>
      <c r="O3" s="169"/>
      <c r="Q3" s="170" t="s">
        <v>267</v>
      </c>
      <c r="R3" s="171"/>
      <c r="S3" s="172"/>
      <c r="T3" s="56" t="s">
        <v>268</v>
      </c>
      <c r="U3" s="168">
        <f>'Movements Sheet'!A14</f>
        <v>0</v>
      </c>
      <c r="V3" s="168"/>
      <c r="W3" s="169"/>
    </row>
    <row r="4" spans="1:23" ht="75" customHeight="1" thickTop="1" thickBot="1" x14ac:dyDescent="0.3">
      <c r="A4" s="173" t="s">
        <v>269</v>
      </c>
      <c r="B4" s="174"/>
      <c r="C4" s="175"/>
      <c r="D4" s="167">
        <f>'Movements Sheet'!B12</f>
        <v>0</v>
      </c>
      <c r="E4" s="168"/>
      <c r="F4" s="168"/>
      <c r="G4" s="169"/>
      <c r="I4" s="173" t="s">
        <v>269</v>
      </c>
      <c r="J4" s="174"/>
      <c r="K4" s="175"/>
      <c r="L4" s="167">
        <f>'Movements Sheet'!B13</f>
        <v>0</v>
      </c>
      <c r="M4" s="168"/>
      <c r="N4" s="168"/>
      <c r="O4" s="169"/>
      <c r="Q4" s="173" t="s">
        <v>269</v>
      </c>
      <c r="R4" s="174"/>
      <c r="S4" s="175"/>
      <c r="T4" s="167">
        <f>'Movements Sheet'!B14</f>
        <v>0</v>
      </c>
      <c r="U4" s="168"/>
      <c r="V4" s="168"/>
      <c r="W4" s="169"/>
    </row>
    <row r="5" spans="1:23" ht="50.1" customHeight="1" thickTop="1" thickBot="1" x14ac:dyDescent="0.3">
      <c r="A5" s="170" t="s">
        <v>270</v>
      </c>
      <c r="B5" s="171"/>
      <c r="C5" s="172"/>
      <c r="D5" s="167">
        <f>'Movements Sheet'!C12</f>
        <v>0</v>
      </c>
      <c r="E5" s="168"/>
      <c r="F5" s="168"/>
      <c r="G5" s="169"/>
      <c r="I5" s="170" t="s">
        <v>270</v>
      </c>
      <c r="J5" s="171"/>
      <c r="K5" s="172"/>
      <c r="L5" s="167">
        <f>'Movements Sheet'!C13</f>
        <v>0</v>
      </c>
      <c r="M5" s="168"/>
      <c r="N5" s="168"/>
      <c r="O5" s="169"/>
      <c r="Q5" s="170" t="s">
        <v>270</v>
      </c>
      <c r="R5" s="171"/>
      <c r="S5" s="172"/>
      <c r="T5" s="167">
        <f>'Movements Sheet'!C14</f>
        <v>0</v>
      </c>
      <c r="U5" s="168"/>
      <c r="V5" s="168"/>
      <c r="W5" s="169"/>
    </row>
    <row r="6" spans="1:23" ht="50.1" customHeight="1" thickTop="1" thickBot="1" x14ac:dyDescent="0.3">
      <c r="A6" s="170" t="s">
        <v>271</v>
      </c>
      <c r="B6" s="171"/>
      <c r="C6" s="172"/>
      <c r="D6" s="167" t="s">
        <v>266</v>
      </c>
      <c r="E6" s="168"/>
      <c r="F6" s="168"/>
      <c r="G6" s="169"/>
      <c r="I6" s="170" t="s">
        <v>271</v>
      </c>
      <c r="J6" s="171"/>
      <c r="K6" s="172"/>
      <c r="L6" s="167" t="s">
        <v>266</v>
      </c>
      <c r="M6" s="168"/>
      <c r="N6" s="168"/>
      <c r="O6" s="169"/>
      <c r="Q6" s="170" t="s">
        <v>271</v>
      </c>
      <c r="R6" s="171"/>
      <c r="S6" s="172"/>
      <c r="T6" s="167" t="s">
        <v>266</v>
      </c>
      <c r="U6" s="168"/>
      <c r="V6" s="168"/>
      <c r="W6" s="169"/>
    </row>
    <row r="7" spans="1:23" ht="50.1" customHeight="1" thickTop="1" thickBot="1" x14ac:dyDescent="0.3">
      <c r="A7" s="170" t="s">
        <v>272</v>
      </c>
      <c r="B7" s="171"/>
      <c r="C7" s="172"/>
      <c r="D7" s="167" t="s">
        <v>266</v>
      </c>
      <c r="E7" s="168"/>
      <c r="F7" s="168"/>
      <c r="G7" s="169"/>
      <c r="I7" s="170" t="s">
        <v>272</v>
      </c>
      <c r="J7" s="171"/>
      <c r="K7" s="172"/>
      <c r="L7" s="167" t="s">
        <v>266</v>
      </c>
      <c r="M7" s="168"/>
      <c r="N7" s="168"/>
      <c r="O7" s="169"/>
      <c r="Q7" s="170" t="s">
        <v>272</v>
      </c>
      <c r="R7" s="171"/>
      <c r="S7" s="172"/>
      <c r="T7" s="167" t="s">
        <v>266</v>
      </c>
      <c r="U7" s="168"/>
      <c r="V7" s="168"/>
      <c r="W7" s="169"/>
    </row>
    <row r="8" spans="1:23" ht="50.1" customHeight="1" thickTop="1" thickBot="1" x14ac:dyDescent="0.3">
      <c r="A8" s="156" t="s">
        <v>273</v>
      </c>
      <c r="B8" s="157"/>
      <c r="C8" s="157"/>
      <c r="D8" s="157"/>
      <c r="E8" s="157"/>
      <c r="F8" s="157"/>
      <c r="G8" s="158"/>
      <c r="I8" s="156" t="s">
        <v>273</v>
      </c>
      <c r="J8" s="157"/>
      <c r="K8" s="157"/>
      <c r="L8" s="157"/>
      <c r="M8" s="157"/>
      <c r="N8" s="157"/>
      <c r="O8" s="158"/>
      <c r="Q8" s="156" t="s">
        <v>273</v>
      </c>
      <c r="R8" s="157"/>
      <c r="S8" s="157"/>
      <c r="T8" s="157"/>
      <c r="U8" s="157"/>
      <c r="V8" s="157"/>
      <c r="W8" s="158"/>
    </row>
    <row r="9" spans="1:23" ht="99.9" customHeight="1" thickTop="1" thickBot="1" x14ac:dyDescent="0.3">
      <c r="A9" s="164" t="s">
        <v>266</v>
      </c>
      <c r="B9" s="165"/>
      <c r="C9" s="165"/>
      <c r="D9" s="165"/>
      <c r="E9" s="165"/>
      <c r="F9" s="165"/>
      <c r="G9" s="166"/>
      <c r="I9" s="164" t="s">
        <v>266</v>
      </c>
      <c r="J9" s="165"/>
      <c r="K9" s="165"/>
      <c r="L9" s="165"/>
      <c r="M9" s="165"/>
      <c r="N9" s="165"/>
      <c r="O9" s="166"/>
      <c r="Q9" s="164" t="s">
        <v>266</v>
      </c>
      <c r="R9" s="165"/>
      <c r="S9" s="165"/>
      <c r="T9" s="165"/>
      <c r="U9" s="165"/>
      <c r="V9" s="165"/>
      <c r="W9" s="166"/>
    </row>
    <row r="10" spans="1:23" ht="50.1" customHeight="1" thickTop="1" thickBot="1" x14ac:dyDescent="0.3">
      <c r="A10" s="156" t="s">
        <v>274</v>
      </c>
      <c r="B10" s="157"/>
      <c r="C10" s="157"/>
      <c r="D10" s="157"/>
      <c r="E10" s="157"/>
      <c r="F10" s="157"/>
      <c r="G10" s="158"/>
      <c r="I10" s="156" t="s">
        <v>274</v>
      </c>
      <c r="J10" s="157"/>
      <c r="K10" s="157"/>
      <c r="L10" s="157"/>
      <c r="M10" s="157"/>
      <c r="N10" s="157"/>
      <c r="O10" s="158"/>
      <c r="Q10" s="156" t="s">
        <v>274</v>
      </c>
      <c r="R10" s="157"/>
      <c r="S10" s="157"/>
      <c r="T10" s="157"/>
      <c r="U10" s="157"/>
      <c r="V10" s="157"/>
      <c r="W10" s="158"/>
    </row>
    <row r="11" spans="1:23" ht="50.1" customHeight="1" thickTop="1" thickBot="1" x14ac:dyDescent="0.3">
      <c r="A11" s="156" t="s">
        <v>275</v>
      </c>
      <c r="B11" s="157"/>
      <c r="C11" s="157"/>
      <c r="D11" s="158"/>
      <c r="E11" s="156" t="s">
        <v>276</v>
      </c>
      <c r="F11" s="157"/>
      <c r="G11" s="158"/>
      <c r="I11" s="156" t="s">
        <v>275</v>
      </c>
      <c r="J11" s="157"/>
      <c r="K11" s="157"/>
      <c r="L11" s="158"/>
      <c r="M11" s="156" t="s">
        <v>276</v>
      </c>
      <c r="N11" s="157"/>
      <c r="O11" s="158"/>
      <c r="Q11" s="156" t="s">
        <v>275</v>
      </c>
      <c r="R11" s="157"/>
      <c r="S11" s="157"/>
      <c r="T11" s="158"/>
      <c r="U11" s="156" t="s">
        <v>276</v>
      </c>
      <c r="V11" s="157"/>
      <c r="W11" s="158"/>
    </row>
    <row r="12" spans="1:23" ht="75" customHeight="1" thickTop="1" thickBot="1" x14ac:dyDescent="0.3">
      <c r="A12" s="164" t="s">
        <v>266</v>
      </c>
      <c r="B12" s="165"/>
      <c r="C12" s="165"/>
      <c r="D12" s="166"/>
      <c r="E12" s="164" t="s">
        <v>266</v>
      </c>
      <c r="F12" s="165"/>
      <c r="G12" s="166"/>
      <c r="I12" s="164" t="s">
        <v>266</v>
      </c>
      <c r="J12" s="165"/>
      <c r="K12" s="165"/>
      <c r="L12" s="166"/>
      <c r="M12" s="164" t="s">
        <v>266</v>
      </c>
      <c r="N12" s="165"/>
      <c r="O12" s="166"/>
      <c r="Q12" s="164" t="s">
        <v>266</v>
      </c>
      <c r="R12" s="165"/>
      <c r="S12" s="165"/>
      <c r="T12" s="166"/>
      <c r="U12" s="164" t="s">
        <v>266</v>
      </c>
      <c r="V12" s="165"/>
      <c r="W12" s="166"/>
    </row>
    <row r="13" spans="1:23" ht="50.1" customHeight="1" thickTop="1" thickBot="1" x14ac:dyDescent="0.3">
      <c r="A13" s="156" t="s">
        <v>277</v>
      </c>
      <c r="B13" s="157"/>
      <c r="C13" s="157"/>
      <c r="D13" s="157"/>
      <c r="E13" s="157"/>
      <c r="F13" s="157"/>
      <c r="G13" s="158"/>
      <c r="I13" s="156" t="s">
        <v>277</v>
      </c>
      <c r="J13" s="157"/>
      <c r="K13" s="157"/>
      <c r="L13" s="157"/>
      <c r="M13" s="157"/>
      <c r="N13" s="157"/>
      <c r="O13" s="158"/>
      <c r="Q13" s="156" t="s">
        <v>277</v>
      </c>
      <c r="R13" s="157"/>
      <c r="S13" s="157"/>
      <c r="T13" s="157"/>
      <c r="U13" s="157"/>
      <c r="V13" s="157"/>
      <c r="W13" s="158"/>
    </row>
    <row r="14" spans="1:23" ht="50.1" customHeight="1" thickTop="1" thickBot="1" x14ac:dyDescent="0.3">
      <c r="A14" s="159">
        <f>'Movements Sheet'!J12</f>
        <v>0</v>
      </c>
      <c r="B14" s="162"/>
      <c r="C14" s="162"/>
      <c r="D14" s="162"/>
      <c r="E14" s="162"/>
      <c r="F14" s="162"/>
      <c r="G14" s="163"/>
      <c r="I14" s="159">
        <f>'Movements Sheet'!J13</f>
        <v>0</v>
      </c>
      <c r="J14" s="162"/>
      <c r="K14" s="162"/>
      <c r="L14" s="162"/>
      <c r="M14" s="162"/>
      <c r="N14" s="162"/>
      <c r="O14" s="163"/>
      <c r="Q14" s="159">
        <f>'Movements Sheet'!J14</f>
        <v>0</v>
      </c>
      <c r="R14" s="162"/>
      <c r="S14" s="162"/>
      <c r="T14" s="162"/>
      <c r="U14" s="162"/>
      <c r="V14" s="162"/>
      <c r="W14" s="163"/>
    </row>
    <row r="15" spans="1:23" ht="14.4" thickTop="1" x14ac:dyDescent="0.25">
      <c r="A15" s="57"/>
      <c r="B15" s="57"/>
      <c r="C15" s="57"/>
      <c r="D15" s="57"/>
      <c r="E15" s="57"/>
      <c r="F15" s="57"/>
      <c r="G15" s="57"/>
    </row>
    <row r="16" spans="1:23" ht="15" x14ac:dyDescent="0.25">
      <c r="A16" s="58"/>
    </row>
  </sheetData>
  <mergeCells count="66">
    <mergeCell ref="A13:G13"/>
    <mergeCell ref="I13:O13"/>
    <mergeCell ref="Q13:W13"/>
    <mergeCell ref="A14:G14"/>
    <mergeCell ref="I14:O14"/>
    <mergeCell ref="Q14:W14"/>
    <mergeCell ref="U12:W12"/>
    <mergeCell ref="A10:G10"/>
    <mergeCell ref="I10:O10"/>
    <mergeCell ref="Q10:W10"/>
    <mergeCell ref="A11:D11"/>
    <mergeCell ref="E11:G11"/>
    <mergeCell ref="I11:L11"/>
    <mergeCell ref="M11:O11"/>
    <mergeCell ref="Q11:T11"/>
    <mergeCell ref="U11:W11"/>
    <mergeCell ref="A12:D12"/>
    <mergeCell ref="E12:G12"/>
    <mergeCell ref="I12:L12"/>
    <mergeCell ref="M12:O12"/>
    <mergeCell ref="Q12:T12"/>
    <mergeCell ref="A8:G8"/>
    <mergeCell ref="I8:O8"/>
    <mergeCell ref="Q8:W8"/>
    <mergeCell ref="A9:G9"/>
    <mergeCell ref="I9:O9"/>
    <mergeCell ref="Q9:W9"/>
    <mergeCell ref="T7:W7"/>
    <mergeCell ref="A6:C6"/>
    <mergeCell ref="D6:G6"/>
    <mergeCell ref="I6:K6"/>
    <mergeCell ref="L6:O6"/>
    <mergeCell ref="Q6:S6"/>
    <mergeCell ref="T6:W6"/>
    <mergeCell ref="A7:C7"/>
    <mergeCell ref="D7:G7"/>
    <mergeCell ref="I7:K7"/>
    <mergeCell ref="L7:O7"/>
    <mergeCell ref="Q7:S7"/>
    <mergeCell ref="T5:W5"/>
    <mergeCell ref="A4:C4"/>
    <mergeCell ref="D4:G4"/>
    <mergeCell ref="I4:K4"/>
    <mergeCell ref="L4:O4"/>
    <mergeCell ref="Q4:S4"/>
    <mergeCell ref="T4:W4"/>
    <mergeCell ref="A5:C5"/>
    <mergeCell ref="D5:G5"/>
    <mergeCell ref="I5:K5"/>
    <mergeCell ref="L5:O5"/>
    <mergeCell ref="Q5:S5"/>
    <mergeCell ref="U3:W3"/>
    <mergeCell ref="A1:G1"/>
    <mergeCell ref="I1:O1"/>
    <mergeCell ref="Q1:W1"/>
    <mergeCell ref="A2:C2"/>
    <mergeCell ref="D2:G2"/>
    <mergeCell ref="I2:K2"/>
    <mergeCell ref="L2:O2"/>
    <mergeCell ref="Q2:S2"/>
    <mergeCell ref="T2:W2"/>
    <mergeCell ref="A3:C3"/>
    <mergeCell ref="E3:G3"/>
    <mergeCell ref="I3:K3"/>
    <mergeCell ref="M3:O3"/>
    <mergeCell ref="Q3:S3"/>
  </mergeCells>
  <printOptions horizontalCentered="1" verticalCentered="1"/>
  <pageMargins left="0.23622047244094491" right="0.23622047244094491" top="0.19685039370078741" bottom="0.19685039370078741" header="0.11811023622047245" footer="0"/>
  <pageSetup paperSize="9" scale="70" fitToHeight="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39997558519241921"/>
    <pageSetUpPr fitToPage="1"/>
  </sheetPr>
  <dimension ref="A1:W16"/>
  <sheetViews>
    <sheetView zoomScale="77" zoomScaleNormal="77" workbookViewId="0">
      <selection activeCell="T5" sqref="T5:W5"/>
    </sheetView>
  </sheetViews>
  <sheetFormatPr defaultRowHeight="13.8" x14ac:dyDescent="0.25"/>
  <cols>
    <col min="3" max="3" width="4.6640625" customWidth="1"/>
  </cols>
  <sheetData>
    <row r="1" spans="1:23" ht="50.1" customHeight="1" thickTop="1" thickBot="1" x14ac:dyDescent="0.3">
      <c r="A1" s="156" t="s">
        <v>264</v>
      </c>
      <c r="B1" s="157"/>
      <c r="C1" s="157"/>
      <c r="D1" s="157"/>
      <c r="E1" s="157"/>
      <c r="F1" s="157"/>
      <c r="G1" s="158"/>
      <c r="I1" s="156" t="s">
        <v>264</v>
      </c>
      <c r="J1" s="157"/>
      <c r="K1" s="157"/>
      <c r="L1" s="157"/>
      <c r="M1" s="157"/>
      <c r="N1" s="157"/>
      <c r="O1" s="158"/>
      <c r="Q1" s="156" t="s">
        <v>264</v>
      </c>
      <c r="R1" s="157"/>
      <c r="S1" s="157"/>
      <c r="T1" s="157"/>
      <c r="U1" s="157"/>
      <c r="V1" s="157"/>
      <c r="W1" s="158"/>
    </row>
    <row r="2" spans="1:23" ht="50.1" customHeight="1" thickTop="1" thickBot="1" x14ac:dyDescent="0.3">
      <c r="A2" s="170" t="s">
        <v>265</v>
      </c>
      <c r="B2" s="171"/>
      <c r="C2" s="172"/>
      <c r="D2" s="176" t="s">
        <v>266</v>
      </c>
      <c r="E2" s="177"/>
      <c r="F2" s="177"/>
      <c r="G2" s="178"/>
      <c r="I2" s="170" t="s">
        <v>265</v>
      </c>
      <c r="J2" s="171"/>
      <c r="K2" s="172"/>
      <c r="L2" s="176" t="s">
        <v>266</v>
      </c>
      <c r="M2" s="177"/>
      <c r="N2" s="177"/>
      <c r="O2" s="178"/>
      <c r="Q2" s="170" t="s">
        <v>265</v>
      </c>
      <c r="R2" s="171"/>
      <c r="S2" s="172"/>
      <c r="T2" s="176" t="s">
        <v>266</v>
      </c>
      <c r="U2" s="177"/>
      <c r="V2" s="177"/>
      <c r="W2" s="178"/>
    </row>
    <row r="3" spans="1:23" ht="50.1" customHeight="1" thickTop="1" thickBot="1" x14ac:dyDescent="0.3">
      <c r="A3" s="170" t="s">
        <v>267</v>
      </c>
      <c r="B3" s="171"/>
      <c r="C3" s="172"/>
      <c r="D3" s="56" t="s">
        <v>268</v>
      </c>
      <c r="E3" s="168">
        <f>'Movements Sheet'!A15</f>
        <v>0</v>
      </c>
      <c r="F3" s="168"/>
      <c r="G3" s="169"/>
      <c r="I3" s="170" t="s">
        <v>267</v>
      </c>
      <c r="J3" s="171"/>
      <c r="K3" s="172"/>
      <c r="L3" s="56" t="s">
        <v>268</v>
      </c>
      <c r="M3" s="168">
        <f>'Movements Sheet'!A16</f>
        <v>0</v>
      </c>
      <c r="N3" s="168"/>
      <c r="O3" s="169"/>
      <c r="Q3" s="170" t="s">
        <v>267</v>
      </c>
      <c r="R3" s="171"/>
      <c r="S3" s="172"/>
      <c r="T3" s="56" t="s">
        <v>268</v>
      </c>
      <c r="U3" s="168">
        <f>'Movements Sheet'!A17</f>
        <v>0</v>
      </c>
      <c r="V3" s="168"/>
      <c r="W3" s="169"/>
    </row>
    <row r="4" spans="1:23" ht="75" customHeight="1" thickTop="1" thickBot="1" x14ac:dyDescent="0.3">
      <c r="A4" s="173" t="s">
        <v>269</v>
      </c>
      <c r="B4" s="174"/>
      <c r="C4" s="175"/>
      <c r="D4" s="167">
        <f>'Movements Sheet'!B15</f>
        <v>0</v>
      </c>
      <c r="E4" s="168"/>
      <c r="F4" s="168"/>
      <c r="G4" s="169"/>
      <c r="I4" s="173" t="s">
        <v>269</v>
      </c>
      <c r="J4" s="174"/>
      <c r="K4" s="175"/>
      <c r="L4" s="167">
        <f>'Movements Sheet'!B16</f>
        <v>0</v>
      </c>
      <c r="M4" s="168"/>
      <c r="N4" s="168"/>
      <c r="O4" s="169"/>
      <c r="Q4" s="173" t="s">
        <v>269</v>
      </c>
      <c r="R4" s="174"/>
      <c r="S4" s="175"/>
      <c r="T4" s="167">
        <f>'Movements Sheet'!B17</f>
        <v>0</v>
      </c>
      <c r="U4" s="168"/>
      <c r="V4" s="168"/>
      <c r="W4" s="169"/>
    </row>
    <row r="5" spans="1:23" ht="50.1" customHeight="1" thickTop="1" thickBot="1" x14ac:dyDescent="0.3">
      <c r="A5" s="170" t="s">
        <v>270</v>
      </c>
      <c r="B5" s="171"/>
      <c r="C5" s="172"/>
      <c r="D5" s="167">
        <f>'Movements Sheet'!C15</f>
        <v>0</v>
      </c>
      <c r="E5" s="168"/>
      <c r="F5" s="168"/>
      <c r="G5" s="169"/>
      <c r="I5" s="170" t="s">
        <v>270</v>
      </c>
      <c r="J5" s="171"/>
      <c r="K5" s="172"/>
      <c r="L5" s="167">
        <f>'Movements Sheet'!C16</f>
        <v>0</v>
      </c>
      <c r="M5" s="168"/>
      <c r="N5" s="168"/>
      <c r="O5" s="169"/>
      <c r="Q5" s="170" t="s">
        <v>270</v>
      </c>
      <c r="R5" s="171"/>
      <c r="S5" s="172"/>
      <c r="T5" s="167">
        <f>'Movements Sheet'!C17</f>
        <v>0</v>
      </c>
      <c r="U5" s="168"/>
      <c r="V5" s="168"/>
      <c r="W5" s="169"/>
    </row>
    <row r="6" spans="1:23" ht="50.1" customHeight="1" thickTop="1" thickBot="1" x14ac:dyDescent="0.3">
      <c r="A6" s="170" t="s">
        <v>271</v>
      </c>
      <c r="B6" s="171"/>
      <c r="C6" s="172"/>
      <c r="D6" s="167" t="s">
        <v>266</v>
      </c>
      <c r="E6" s="168"/>
      <c r="F6" s="168"/>
      <c r="G6" s="169"/>
      <c r="I6" s="170" t="s">
        <v>271</v>
      </c>
      <c r="J6" s="171"/>
      <c r="K6" s="172"/>
      <c r="L6" s="167" t="s">
        <v>266</v>
      </c>
      <c r="M6" s="168"/>
      <c r="N6" s="168"/>
      <c r="O6" s="169"/>
      <c r="Q6" s="170" t="s">
        <v>271</v>
      </c>
      <c r="R6" s="171"/>
      <c r="S6" s="172"/>
      <c r="T6" s="167" t="s">
        <v>266</v>
      </c>
      <c r="U6" s="168"/>
      <c r="V6" s="168"/>
      <c r="W6" s="169"/>
    </row>
    <row r="7" spans="1:23" ht="50.1" customHeight="1" thickTop="1" thickBot="1" x14ac:dyDescent="0.3">
      <c r="A7" s="170" t="s">
        <v>272</v>
      </c>
      <c r="B7" s="171"/>
      <c r="C7" s="172"/>
      <c r="D7" s="167" t="s">
        <v>266</v>
      </c>
      <c r="E7" s="168"/>
      <c r="F7" s="168"/>
      <c r="G7" s="169"/>
      <c r="I7" s="170" t="s">
        <v>272</v>
      </c>
      <c r="J7" s="171"/>
      <c r="K7" s="172"/>
      <c r="L7" s="167" t="s">
        <v>266</v>
      </c>
      <c r="M7" s="168"/>
      <c r="N7" s="168"/>
      <c r="O7" s="169"/>
      <c r="Q7" s="170" t="s">
        <v>272</v>
      </c>
      <c r="R7" s="171"/>
      <c r="S7" s="172"/>
      <c r="T7" s="167" t="s">
        <v>266</v>
      </c>
      <c r="U7" s="168"/>
      <c r="V7" s="168"/>
      <c r="W7" s="169"/>
    </row>
    <row r="8" spans="1:23" ht="50.1" customHeight="1" thickTop="1" thickBot="1" x14ac:dyDescent="0.3">
      <c r="A8" s="156" t="s">
        <v>273</v>
      </c>
      <c r="B8" s="157"/>
      <c r="C8" s="157"/>
      <c r="D8" s="157"/>
      <c r="E8" s="157"/>
      <c r="F8" s="157"/>
      <c r="G8" s="158"/>
      <c r="I8" s="156" t="s">
        <v>273</v>
      </c>
      <c r="J8" s="157"/>
      <c r="K8" s="157"/>
      <c r="L8" s="157"/>
      <c r="M8" s="157"/>
      <c r="N8" s="157"/>
      <c r="O8" s="158"/>
      <c r="Q8" s="156" t="s">
        <v>273</v>
      </c>
      <c r="R8" s="157"/>
      <c r="S8" s="157"/>
      <c r="T8" s="157"/>
      <c r="U8" s="157"/>
      <c r="V8" s="157"/>
      <c r="W8" s="158"/>
    </row>
    <row r="9" spans="1:23" ht="99.9" customHeight="1" thickTop="1" thickBot="1" x14ac:dyDescent="0.3">
      <c r="A9" s="164" t="s">
        <v>266</v>
      </c>
      <c r="B9" s="165"/>
      <c r="C9" s="165"/>
      <c r="D9" s="165"/>
      <c r="E9" s="165"/>
      <c r="F9" s="165"/>
      <c r="G9" s="166"/>
      <c r="I9" s="164" t="s">
        <v>266</v>
      </c>
      <c r="J9" s="165"/>
      <c r="K9" s="165"/>
      <c r="L9" s="165"/>
      <c r="M9" s="165"/>
      <c r="N9" s="165"/>
      <c r="O9" s="166"/>
      <c r="Q9" s="164" t="s">
        <v>266</v>
      </c>
      <c r="R9" s="165"/>
      <c r="S9" s="165"/>
      <c r="T9" s="165"/>
      <c r="U9" s="165"/>
      <c r="V9" s="165"/>
      <c r="W9" s="166"/>
    </row>
    <row r="10" spans="1:23" ht="50.1" customHeight="1" thickTop="1" thickBot="1" x14ac:dyDescent="0.3">
      <c r="A10" s="156" t="s">
        <v>274</v>
      </c>
      <c r="B10" s="157"/>
      <c r="C10" s="157"/>
      <c r="D10" s="157"/>
      <c r="E10" s="157"/>
      <c r="F10" s="157"/>
      <c r="G10" s="158"/>
      <c r="I10" s="156" t="s">
        <v>274</v>
      </c>
      <c r="J10" s="157"/>
      <c r="K10" s="157"/>
      <c r="L10" s="157"/>
      <c r="M10" s="157"/>
      <c r="N10" s="157"/>
      <c r="O10" s="158"/>
      <c r="Q10" s="156" t="s">
        <v>274</v>
      </c>
      <c r="R10" s="157"/>
      <c r="S10" s="157"/>
      <c r="T10" s="157"/>
      <c r="U10" s="157"/>
      <c r="V10" s="157"/>
      <c r="W10" s="158"/>
    </row>
    <row r="11" spans="1:23" ht="50.1" customHeight="1" thickTop="1" thickBot="1" x14ac:dyDescent="0.3">
      <c r="A11" s="156" t="s">
        <v>275</v>
      </c>
      <c r="B11" s="157"/>
      <c r="C11" s="157"/>
      <c r="D11" s="158"/>
      <c r="E11" s="156" t="s">
        <v>276</v>
      </c>
      <c r="F11" s="157"/>
      <c r="G11" s="158"/>
      <c r="I11" s="156" t="s">
        <v>275</v>
      </c>
      <c r="J11" s="157"/>
      <c r="K11" s="157"/>
      <c r="L11" s="158"/>
      <c r="M11" s="156" t="s">
        <v>276</v>
      </c>
      <c r="N11" s="157"/>
      <c r="O11" s="158"/>
      <c r="Q11" s="156" t="s">
        <v>275</v>
      </c>
      <c r="R11" s="157"/>
      <c r="S11" s="157"/>
      <c r="T11" s="158"/>
      <c r="U11" s="156" t="s">
        <v>276</v>
      </c>
      <c r="V11" s="157"/>
      <c r="W11" s="158"/>
    </row>
    <row r="12" spans="1:23" ht="75" customHeight="1" thickTop="1" thickBot="1" x14ac:dyDescent="0.3">
      <c r="A12" s="164" t="s">
        <v>266</v>
      </c>
      <c r="B12" s="165"/>
      <c r="C12" s="165"/>
      <c r="D12" s="166"/>
      <c r="E12" s="164" t="s">
        <v>266</v>
      </c>
      <c r="F12" s="165"/>
      <c r="G12" s="166"/>
      <c r="I12" s="164" t="s">
        <v>266</v>
      </c>
      <c r="J12" s="165"/>
      <c r="K12" s="165"/>
      <c r="L12" s="166"/>
      <c r="M12" s="164" t="s">
        <v>266</v>
      </c>
      <c r="N12" s="165"/>
      <c r="O12" s="166"/>
      <c r="Q12" s="164" t="s">
        <v>266</v>
      </c>
      <c r="R12" s="165"/>
      <c r="S12" s="165"/>
      <c r="T12" s="166"/>
      <c r="U12" s="164" t="s">
        <v>266</v>
      </c>
      <c r="V12" s="165"/>
      <c r="W12" s="166"/>
    </row>
    <row r="13" spans="1:23" ht="50.1" customHeight="1" thickTop="1" thickBot="1" x14ac:dyDescent="0.3">
      <c r="A13" s="156" t="s">
        <v>277</v>
      </c>
      <c r="B13" s="157"/>
      <c r="C13" s="157"/>
      <c r="D13" s="157"/>
      <c r="E13" s="157"/>
      <c r="F13" s="157"/>
      <c r="G13" s="158"/>
      <c r="I13" s="156" t="s">
        <v>277</v>
      </c>
      <c r="J13" s="157"/>
      <c r="K13" s="157"/>
      <c r="L13" s="157"/>
      <c r="M13" s="157"/>
      <c r="N13" s="157"/>
      <c r="O13" s="158"/>
      <c r="Q13" s="156" t="s">
        <v>277</v>
      </c>
      <c r="R13" s="157"/>
      <c r="S13" s="157"/>
      <c r="T13" s="157"/>
      <c r="U13" s="157"/>
      <c r="V13" s="157"/>
      <c r="W13" s="158"/>
    </row>
    <row r="14" spans="1:23" ht="50.1" customHeight="1" thickTop="1" thickBot="1" x14ac:dyDescent="0.3">
      <c r="A14" s="159">
        <f>'Movements Sheet'!J15</f>
        <v>0</v>
      </c>
      <c r="B14" s="162"/>
      <c r="C14" s="162"/>
      <c r="D14" s="162"/>
      <c r="E14" s="162"/>
      <c r="F14" s="162"/>
      <c r="G14" s="163"/>
      <c r="I14" s="159">
        <f>'Movements Sheet'!J16</f>
        <v>0</v>
      </c>
      <c r="J14" s="162"/>
      <c r="K14" s="162"/>
      <c r="L14" s="162"/>
      <c r="M14" s="162"/>
      <c r="N14" s="162"/>
      <c r="O14" s="163"/>
      <c r="Q14" s="159">
        <f>'Movements Sheet'!J17</f>
        <v>0</v>
      </c>
      <c r="R14" s="162"/>
      <c r="S14" s="162"/>
      <c r="T14" s="162"/>
      <c r="U14" s="162"/>
      <c r="V14" s="162"/>
      <c r="W14" s="163"/>
    </row>
    <row r="15" spans="1:23" ht="14.4" thickTop="1" x14ac:dyDescent="0.25">
      <c r="A15" s="57"/>
      <c r="B15" s="57"/>
      <c r="C15" s="57"/>
      <c r="D15" s="57"/>
      <c r="E15" s="57"/>
      <c r="F15" s="57"/>
      <c r="G15" s="57"/>
    </row>
    <row r="16" spans="1:23" ht="15" x14ac:dyDescent="0.25">
      <c r="A16" s="58"/>
    </row>
  </sheetData>
  <mergeCells count="66">
    <mergeCell ref="A13:G13"/>
    <mergeCell ref="I13:O13"/>
    <mergeCell ref="Q13:W13"/>
    <mergeCell ref="A14:G14"/>
    <mergeCell ref="I14:O14"/>
    <mergeCell ref="Q14:W14"/>
    <mergeCell ref="U12:W12"/>
    <mergeCell ref="A10:G10"/>
    <mergeCell ref="I10:O10"/>
    <mergeCell ref="Q10:W10"/>
    <mergeCell ref="A11:D11"/>
    <mergeCell ref="E11:G11"/>
    <mergeCell ref="I11:L11"/>
    <mergeCell ref="M11:O11"/>
    <mergeCell ref="Q11:T11"/>
    <mergeCell ref="U11:W11"/>
    <mergeCell ref="A12:D12"/>
    <mergeCell ref="E12:G12"/>
    <mergeCell ref="I12:L12"/>
    <mergeCell ref="M12:O12"/>
    <mergeCell ref="Q12:T12"/>
    <mergeCell ref="A8:G8"/>
    <mergeCell ref="I8:O8"/>
    <mergeCell ref="Q8:W8"/>
    <mergeCell ref="A9:G9"/>
    <mergeCell ref="I9:O9"/>
    <mergeCell ref="Q9:W9"/>
    <mergeCell ref="T7:W7"/>
    <mergeCell ref="A6:C6"/>
    <mergeCell ref="D6:G6"/>
    <mergeCell ref="I6:K6"/>
    <mergeCell ref="L6:O6"/>
    <mergeCell ref="Q6:S6"/>
    <mergeCell ref="T6:W6"/>
    <mergeCell ref="A7:C7"/>
    <mergeCell ref="D7:G7"/>
    <mergeCell ref="I7:K7"/>
    <mergeCell ref="L7:O7"/>
    <mergeCell ref="Q7:S7"/>
    <mergeCell ref="T5:W5"/>
    <mergeCell ref="A4:C4"/>
    <mergeCell ref="D4:G4"/>
    <mergeCell ref="I4:K4"/>
    <mergeCell ref="L4:O4"/>
    <mergeCell ref="Q4:S4"/>
    <mergeCell ref="T4:W4"/>
    <mergeCell ref="A5:C5"/>
    <mergeCell ref="D5:G5"/>
    <mergeCell ref="I5:K5"/>
    <mergeCell ref="L5:O5"/>
    <mergeCell ref="Q5:S5"/>
    <mergeCell ref="U3:W3"/>
    <mergeCell ref="A1:G1"/>
    <mergeCell ref="I1:O1"/>
    <mergeCell ref="Q1:W1"/>
    <mergeCell ref="A2:C2"/>
    <mergeCell ref="D2:G2"/>
    <mergeCell ref="I2:K2"/>
    <mergeCell ref="L2:O2"/>
    <mergeCell ref="Q2:S2"/>
    <mergeCell ref="T2:W2"/>
    <mergeCell ref="A3:C3"/>
    <mergeCell ref="E3:G3"/>
    <mergeCell ref="I3:K3"/>
    <mergeCell ref="M3:O3"/>
    <mergeCell ref="Q3:S3"/>
  </mergeCells>
  <printOptions horizontalCentered="1" verticalCentered="1"/>
  <pageMargins left="0.23622047244094491" right="0.23622047244094491" top="0.19685039370078741" bottom="0.19685039370078741" header="0.11811023622047245" footer="0"/>
  <pageSetup paperSize="9" scale="70" fitToHeight="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topLeftCell="A7" workbookViewId="0">
      <selection activeCell="A51" sqref="A51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 t="str">
        <f>'Movements Sheet'!B6</f>
        <v>KIRSTY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 t="str">
        <f>'Movements Sheet'!I6</f>
        <v>Res 1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 t="str">
        <f>'Movements Sheet'!A6</f>
        <v>SAUNDERS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 t="str">
        <f>'Movements Sheet'!C6</f>
        <v>A1234AA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A16:A32"/>
    <mergeCell ref="A37:A49"/>
    <mergeCell ref="G10:H11"/>
  </mergeCells>
  <pageMargins left="0.25" right="0.25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workbookViewId="0">
      <selection activeCell="A6" sqref="A6:A15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Sheet'!B7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Sheet'!I7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Sheet'!A7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Sheet'!C7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workbookViewId="0">
      <selection activeCell="G12" sqref="G12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Sheet'!B8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Sheet'!I8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Sheet'!A8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Sheet'!C8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workbookViewId="0">
      <selection activeCell="G12" sqref="G12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Sheet'!B9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Sheet'!I9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Sheet'!A9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Sheet'!C9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workbookViewId="0">
      <selection activeCell="A50" sqref="A50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Sheet'!B10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Sheet'!I10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Sheet'!A10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Sheet'!C10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workbookViewId="0">
      <selection activeCell="A50" sqref="A50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Sheet'!B11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Sheet'!I11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Sheet'!A11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Sheet'!C11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workbookViewId="0">
      <selection activeCell="G12" sqref="G12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Sheet'!B12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Sheet'!I12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Sheet'!A12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Sheet'!C12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topLeftCell="A14" workbookViewId="0">
      <selection activeCell="A16" sqref="A16:A32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Sheet'!B13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Sheet'!I13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Sheet'!A13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Sheet'!C13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workbookViewId="0">
      <selection activeCell="A6" sqref="A6:A15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Sheet'!B14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Sheet'!I14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Sheet'!A14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Sheet'!C14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workbookViewId="0">
      <selection activeCell="A50" sqref="A50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Sheet'!B15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Sheet'!I15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Sheet'!A15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Sheet'!C15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workbookViewId="0">
      <selection activeCell="B37" sqref="B37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Sheet'!B16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Sheet'!I16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Sheet'!A16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Sheet'!C16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6:J49"/>
  <sheetViews>
    <sheetView workbookViewId="0">
      <selection activeCell="A50" sqref="A50"/>
    </sheetView>
  </sheetViews>
  <sheetFormatPr defaultRowHeight="13.8" x14ac:dyDescent="0.25"/>
  <cols>
    <col min="1" max="1" width="6.33203125" style="71" customWidth="1"/>
    <col min="2" max="2" width="17.109375" customWidth="1"/>
    <col min="3" max="3" width="15.88671875" customWidth="1"/>
    <col min="4" max="4" width="13.33203125" customWidth="1"/>
    <col min="5" max="5" width="12" customWidth="1"/>
    <col min="6" max="6" width="11.6640625" customWidth="1"/>
  </cols>
  <sheetData>
    <row r="6" spans="1:10" ht="15" customHeight="1" x14ac:dyDescent="0.25">
      <c r="A6" s="182">
        <f>'Movements Sheet'!B17</f>
        <v>0</v>
      </c>
    </row>
    <row r="7" spans="1:10" x14ac:dyDescent="0.25">
      <c r="A7" s="182"/>
    </row>
    <row r="8" spans="1:10" x14ac:dyDescent="0.25">
      <c r="A8" s="182"/>
      <c r="D8" s="60"/>
      <c r="E8" s="61"/>
      <c r="F8" s="61"/>
      <c r="G8" s="61"/>
      <c r="H8" s="61"/>
      <c r="I8" s="61"/>
    </row>
    <row r="9" spans="1:10" ht="14.4" thickBot="1" x14ac:dyDescent="0.3">
      <c r="A9" s="182"/>
      <c r="D9" s="62"/>
      <c r="E9" s="62"/>
      <c r="F9" s="62"/>
      <c r="G9" s="63"/>
      <c r="H9" s="63"/>
      <c r="I9" s="63"/>
    </row>
    <row r="10" spans="1:10" ht="14.4" thickBot="1" x14ac:dyDescent="0.3">
      <c r="A10" s="182"/>
      <c r="B10" s="64" t="s">
        <v>290</v>
      </c>
      <c r="D10" s="183" t="s">
        <v>291</v>
      </c>
      <c r="E10" s="184"/>
      <c r="F10" s="61"/>
      <c r="G10" s="186">
        <f>'Movements Sheet'!I17</f>
        <v>0</v>
      </c>
      <c r="H10" s="187"/>
      <c r="I10" s="61"/>
      <c r="J10" s="65"/>
    </row>
    <row r="11" spans="1:10" ht="14.4" thickBot="1" x14ac:dyDescent="0.3">
      <c r="A11" s="182"/>
      <c r="D11" s="66">
        <f ca="1">TODAY()</f>
        <v>42822</v>
      </c>
      <c r="E11" s="67"/>
      <c r="F11" s="62"/>
      <c r="G11" s="188"/>
      <c r="H11" s="189"/>
      <c r="I11" s="63"/>
      <c r="J11" s="65"/>
    </row>
    <row r="12" spans="1:10" ht="16.2" thickBot="1" x14ac:dyDescent="0.3">
      <c r="A12" s="182"/>
      <c r="D12" s="68"/>
      <c r="E12" s="69" t="s">
        <v>289</v>
      </c>
      <c r="F12" s="63"/>
      <c r="G12" s="70"/>
      <c r="H12" s="63"/>
      <c r="I12" s="63"/>
      <c r="J12" s="65"/>
    </row>
    <row r="13" spans="1:10" x14ac:dyDescent="0.25">
      <c r="A13" s="182"/>
      <c r="F13" s="65"/>
      <c r="G13" s="65"/>
      <c r="H13" s="65"/>
      <c r="I13" s="65"/>
      <c r="J13" s="65"/>
    </row>
    <row r="14" spans="1:10" ht="15.75" customHeight="1" x14ac:dyDescent="0.25">
      <c r="A14" s="182"/>
      <c r="F14" s="65"/>
      <c r="G14" s="65"/>
      <c r="H14" s="65"/>
      <c r="I14" s="65"/>
      <c r="J14" s="65"/>
    </row>
    <row r="15" spans="1:10" ht="15.75" customHeight="1" x14ac:dyDescent="0.25">
      <c r="A15" s="182"/>
      <c r="F15" s="65"/>
      <c r="G15" s="65"/>
      <c r="H15" s="65"/>
      <c r="I15" s="65"/>
      <c r="J15" s="65"/>
    </row>
    <row r="16" spans="1:10" ht="15" customHeight="1" x14ac:dyDescent="0.25">
      <c r="A16" s="141">
        <f>'Movements Sheet'!A17</f>
        <v>0</v>
      </c>
      <c r="F16" s="65"/>
      <c r="G16" s="65"/>
      <c r="H16" s="65"/>
      <c r="I16" s="65"/>
      <c r="J16" s="65"/>
    </row>
    <row r="17" spans="1:1" x14ac:dyDescent="0.25">
      <c r="A17" s="141"/>
    </row>
    <row r="18" spans="1:1" x14ac:dyDescent="0.25">
      <c r="A18" s="141"/>
    </row>
    <row r="19" spans="1:1" x14ac:dyDescent="0.25">
      <c r="A19" s="141"/>
    </row>
    <row r="20" spans="1:1" x14ac:dyDescent="0.25">
      <c r="A20" s="141"/>
    </row>
    <row r="21" spans="1:1" x14ac:dyDescent="0.25">
      <c r="A21" s="141"/>
    </row>
    <row r="22" spans="1:1" x14ac:dyDescent="0.25">
      <c r="A22" s="141"/>
    </row>
    <row r="23" spans="1:1" x14ac:dyDescent="0.25">
      <c r="A23" s="141"/>
    </row>
    <row r="24" spans="1:1" x14ac:dyDescent="0.25">
      <c r="A24" s="141"/>
    </row>
    <row r="25" spans="1:1" x14ac:dyDescent="0.25">
      <c r="A25" s="141"/>
    </row>
    <row r="26" spans="1:1" x14ac:dyDescent="0.25">
      <c r="A26" s="141"/>
    </row>
    <row r="27" spans="1:1" x14ac:dyDescent="0.25">
      <c r="A27" s="141"/>
    </row>
    <row r="28" spans="1:1" x14ac:dyDescent="0.25">
      <c r="A28" s="141"/>
    </row>
    <row r="29" spans="1:1" x14ac:dyDescent="0.25">
      <c r="A29" s="141"/>
    </row>
    <row r="30" spans="1:1" x14ac:dyDescent="0.25">
      <c r="A30" s="141"/>
    </row>
    <row r="31" spans="1:1" x14ac:dyDescent="0.25">
      <c r="A31" s="141"/>
    </row>
    <row r="32" spans="1:1" x14ac:dyDescent="0.25">
      <c r="A32" s="141"/>
    </row>
    <row r="33" spans="1:1" ht="22.8" x14ac:dyDescent="0.4">
      <c r="A33" s="72"/>
    </row>
    <row r="34" spans="1:1" ht="22.8" x14ac:dyDescent="0.4">
      <c r="A34" s="72"/>
    </row>
    <row r="35" spans="1:1" ht="22.8" x14ac:dyDescent="0.4">
      <c r="A35" s="72"/>
    </row>
    <row r="36" spans="1:1" ht="22.8" x14ac:dyDescent="0.4">
      <c r="A36" s="72"/>
    </row>
    <row r="37" spans="1:1" ht="15" customHeight="1" x14ac:dyDescent="0.25">
      <c r="A37" s="185">
        <f>'Movements Sheet'!C17</f>
        <v>0</v>
      </c>
    </row>
    <row r="38" spans="1:1" x14ac:dyDescent="0.25">
      <c r="A38" s="185"/>
    </row>
    <row r="39" spans="1:1" x14ac:dyDescent="0.25">
      <c r="A39" s="185"/>
    </row>
    <row r="40" spans="1:1" x14ac:dyDescent="0.25">
      <c r="A40" s="185"/>
    </row>
    <row r="41" spans="1:1" x14ac:dyDescent="0.25">
      <c r="A41" s="185"/>
    </row>
    <row r="42" spans="1:1" x14ac:dyDescent="0.25">
      <c r="A42" s="185"/>
    </row>
    <row r="43" spans="1:1" x14ac:dyDescent="0.25">
      <c r="A43" s="185"/>
    </row>
    <row r="44" spans="1:1" x14ac:dyDescent="0.25">
      <c r="A44" s="185"/>
    </row>
    <row r="45" spans="1:1" x14ac:dyDescent="0.25">
      <c r="A45" s="185"/>
    </row>
    <row r="46" spans="1:1" x14ac:dyDescent="0.25">
      <c r="A46" s="185"/>
    </row>
    <row r="47" spans="1:1" x14ac:dyDescent="0.25">
      <c r="A47" s="185"/>
    </row>
    <row r="48" spans="1:1" x14ac:dyDescent="0.25">
      <c r="A48" s="185"/>
    </row>
    <row r="49" spans="1:1" x14ac:dyDescent="0.25">
      <c r="A49" s="185"/>
    </row>
  </sheetData>
  <mergeCells count="5">
    <mergeCell ref="A6:A15"/>
    <mergeCell ref="D10:E10"/>
    <mergeCell ref="G10:H11"/>
    <mergeCell ref="A16:A32"/>
    <mergeCell ref="A37:A49"/>
  </mergeCells>
  <pageMargins left="0.25" right="0.25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 t="str">
        <f>'Movements Sheet'!C6</f>
        <v>A1234AA</v>
      </c>
      <c r="B1" s="90" t="str">
        <f>'Movements Sheet'!B6</f>
        <v>KIRSTY</v>
      </c>
      <c r="C1" s="90" t="str">
        <f>'Movements Sheet'!A6</f>
        <v>SAUNDERS</v>
      </c>
      <c r="E1" s="90" t="str">
        <f>'Movements Sheet'!C6</f>
        <v>A1234AA</v>
      </c>
      <c r="F1" s="90" t="str">
        <f>'Movements Sheet'!B6</f>
        <v>KIRSTY</v>
      </c>
      <c r="G1" s="90" t="str">
        <f>'Movements Sheet'!A6</f>
        <v>SAUNDERS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ht="15" customHeight="1" x14ac:dyDescent="0.3">
      <c r="A4" s="190"/>
      <c r="B4" s="91" t="s">
        <v>26</v>
      </c>
      <c r="C4" s="84" t="str">
        <f>'Movements Sheet'!F6</f>
        <v>High Risk</v>
      </c>
      <c r="E4" s="190"/>
      <c r="F4" s="91" t="s">
        <v>26</v>
      </c>
      <c r="G4" s="84" t="str">
        <f t="shared" ref="G4:G11" si="0">C4</f>
        <v>High Risk</v>
      </c>
    </row>
    <row r="5" spans="1:10" ht="15.75" customHeight="1" thickBot="1" x14ac:dyDescent="0.35">
      <c r="A5" s="190"/>
      <c r="B5" s="92" t="s">
        <v>242</v>
      </c>
      <c r="C5" s="76" t="str">
        <f>'Movements Sheet'!J6</f>
        <v>BSC</v>
      </c>
      <c r="E5" s="190"/>
      <c r="F5" s="92" t="s">
        <v>242</v>
      </c>
      <c r="G5" s="76" t="str">
        <f t="shared" si="0"/>
        <v>BSC</v>
      </c>
      <c r="H5" s="101"/>
      <c r="I5" s="101"/>
    </row>
    <row r="6" spans="1:10" ht="15" thickBot="1" x14ac:dyDescent="0.35">
      <c r="A6" s="190"/>
      <c r="B6" s="93" t="s">
        <v>292</v>
      </c>
      <c r="C6" s="87" t="str">
        <f>'Movements Sheet'!H6</f>
        <v>No</v>
      </c>
      <c r="E6" s="190"/>
      <c r="F6" s="93" t="s">
        <v>292</v>
      </c>
      <c r="G6" s="87" t="str">
        <f t="shared" si="0"/>
        <v>No</v>
      </c>
      <c r="H6" s="79"/>
      <c r="I6" s="79"/>
    </row>
    <row r="7" spans="1:10" x14ac:dyDescent="0.3">
      <c r="A7" s="191" t="s">
        <v>307</v>
      </c>
      <c r="B7" s="94" t="s">
        <v>295</v>
      </c>
      <c r="C7" s="88" t="str">
        <f>'Movements Sheet'!K6</f>
        <v>No</v>
      </c>
      <c r="E7" s="191" t="s">
        <v>307</v>
      </c>
      <c r="F7" s="94" t="s">
        <v>295</v>
      </c>
      <c r="G7" s="88" t="str">
        <f t="shared" si="0"/>
        <v>No</v>
      </c>
      <c r="H7" s="101"/>
      <c r="I7" s="101"/>
      <c r="J7" s="104"/>
    </row>
    <row r="8" spans="1:10" x14ac:dyDescent="0.3">
      <c r="A8" s="191"/>
      <c r="B8" s="96" t="s">
        <v>296</v>
      </c>
      <c r="C8" s="97" t="str">
        <f>'Movements Sheet'!L6</f>
        <v>No</v>
      </c>
      <c r="E8" s="191"/>
      <c r="F8" s="96" t="s">
        <v>296</v>
      </c>
      <c r="G8" s="97" t="str">
        <f t="shared" si="0"/>
        <v>No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 t="str">
        <f>'Movements Sheet'!N6</f>
        <v>Murder</v>
      </c>
      <c r="E9" s="191"/>
      <c r="F9" s="95" t="s">
        <v>305</v>
      </c>
      <c r="G9" s="89" t="str">
        <f t="shared" si="0"/>
        <v>Murder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 t="str">
        <f>'Movements Sheet'!M6</f>
        <v>White British</v>
      </c>
      <c r="E10" s="191"/>
      <c r="F10" s="127" t="s">
        <v>507</v>
      </c>
      <c r="G10" s="107" t="str">
        <f t="shared" si="0"/>
        <v>White British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0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 t="str">
        <f t="shared" ref="A13:C13" si="1">A1</f>
        <v>A1234AA</v>
      </c>
      <c r="B13" s="90" t="str">
        <f t="shared" si="1"/>
        <v>KIRSTY</v>
      </c>
      <c r="C13" s="90" t="str">
        <f t="shared" si="1"/>
        <v>SAUNDERS</v>
      </c>
      <c r="E13" s="90" t="str">
        <f t="shared" ref="E13:G13" si="2">A1</f>
        <v>A1234AA</v>
      </c>
      <c r="F13" s="90" t="str">
        <f t="shared" si="2"/>
        <v>KIRSTY</v>
      </c>
      <c r="G13" s="90" t="str">
        <f t="shared" si="2"/>
        <v>SAUNDERS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 t="str">
        <f t="shared" ref="C16:C23" si="3">C4</f>
        <v>High Risk</v>
      </c>
      <c r="E16" s="190"/>
      <c r="F16" s="91" t="s">
        <v>26</v>
      </c>
      <c r="G16" s="84" t="str">
        <f t="shared" ref="G16:G23" si="4">C4</f>
        <v>High Risk</v>
      </c>
    </row>
    <row r="17" spans="1:7" ht="15" thickBot="1" x14ac:dyDescent="0.35">
      <c r="A17" s="190"/>
      <c r="B17" s="92" t="s">
        <v>242</v>
      </c>
      <c r="C17" s="76" t="str">
        <f t="shared" si="3"/>
        <v>BSC</v>
      </c>
      <c r="E17" s="190"/>
      <c r="F17" s="92" t="s">
        <v>242</v>
      </c>
      <c r="G17" s="76" t="str">
        <f t="shared" si="4"/>
        <v>BSC</v>
      </c>
    </row>
    <row r="18" spans="1:7" ht="15" thickBot="1" x14ac:dyDescent="0.35">
      <c r="A18" s="190"/>
      <c r="B18" s="93" t="s">
        <v>292</v>
      </c>
      <c r="C18" s="87" t="str">
        <f t="shared" si="3"/>
        <v>No</v>
      </c>
      <c r="E18" s="190"/>
      <c r="F18" s="93" t="s">
        <v>292</v>
      </c>
      <c r="G18" s="87" t="str">
        <f t="shared" si="4"/>
        <v>No</v>
      </c>
    </row>
    <row r="19" spans="1:7" ht="15" customHeight="1" x14ac:dyDescent="0.3">
      <c r="A19" s="191" t="s">
        <v>307</v>
      </c>
      <c r="B19" s="94" t="s">
        <v>295</v>
      </c>
      <c r="C19" s="88" t="str">
        <f t="shared" si="3"/>
        <v>No</v>
      </c>
      <c r="E19" s="191" t="s">
        <v>307</v>
      </c>
      <c r="F19" s="94" t="s">
        <v>295</v>
      </c>
      <c r="G19" s="88" t="str">
        <f t="shared" si="4"/>
        <v>No</v>
      </c>
    </row>
    <row r="20" spans="1:7" x14ac:dyDescent="0.3">
      <c r="A20" s="191"/>
      <c r="B20" s="96" t="s">
        <v>296</v>
      </c>
      <c r="C20" s="97" t="str">
        <f t="shared" si="3"/>
        <v>No</v>
      </c>
      <c r="E20" s="191"/>
      <c r="F20" s="96" t="s">
        <v>296</v>
      </c>
      <c r="G20" s="97" t="str">
        <f t="shared" si="4"/>
        <v>No</v>
      </c>
    </row>
    <row r="21" spans="1:7" ht="15" thickBot="1" x14ac:dyDescent="0.35">
      <c r="A21" s="191"/>
      <c r="B21" s="95" t="s">
        <v>305</v>
      </c>
      <c r="C21" s="89" t="str">
        <f t="shared" si="3"/>
        <v>Murder</v>
      </c>
      <c r="E21" s="191"/>
      <c r="F21" s="95" t="s">
        <v>305</v>
      </c>
      <c r="G21" s="89" t="str">
        <f t="shared" si="4"/>
        <v>Murder</v>
      </c>
    </row>
    <row r="22" spans="1:7" ht="15" thickBot="1" x14ac:dyDescent="0.35">
      <c r="A22" s="191"/>
      <c r="B22" s="127" t="s">
        <v>507</v>
      </c>
      <c r="C22" s="107" t="str">
        <f t="shared" si="3"/>
        <v>White British</v>
      </c>
      <c r="E22" s="191"/>
      <c r="F22" s="127" t="s">
        <v>507</v>
      </c>
      <c r="G22" s="106" t="str">
        <f t="shared" si="4"/>
        <v>White British</v>
      </c>
    </row>
    <row r="23" spans="1:7" ht="16.2" thickBot="1" x14ac:dyDescent="0.35">
      <c r="A23" s="191"/>
      <c r="B23" s="86"/>
      <c r="C23" s="69" t="str">
        <f t="shared" si="3"/>
        <v>Saunders</v>
      </c>
      <c r="E23" s="191"/>
      <c r="F23" s="86"/>
      <c r="G23" s="69" t="str">
        <f t="shared" si="4"/>
        <v>Saunders</v>
      </c>
    </row>
    <row r="24" spans="1:7" x14ac:dyDescent="0.3">
      <c r="A24" s="102"/>
    </row>
    <row r="25" spans="1:7" ht="15.6" x14ac:dyDescent="0.3">
      <c r="A25" s="90" t="str">
        <f t="shared" ref="A25:C25" si="5">A1</f>
        <v>A1234AA</v>
      </c>
      <c r="B25" s="90" t="str">
        <f t="shared" si="5"/>
        <v>KIRSTY</v>
      </c>
      <c r="C25" s="90" t="str">
        <f t="shared" si="5"/>
        <v>SAUNDERS</v>
      </c>
      <c r="E25" s="90" t="str">
        <f t="shared" ref="E25:G25" si="6">A1</f>
        <v>A1234AA</v>
      </c>
      <c r="F25" s="90" t="str">
        <f t="shared" si="6"/>
        <v>KIRSTY</v>
      </c>
      <c r="G25" s="90" t="str">
        <f t="shared" si="6"/>
        <v>SAUNDERS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 t="str">
        <f t="shared" ref="C28:C35" si="7">C4</f>
        <v>High Risk</v>
      </c>
      <c r="E28" s="190"/>
      <c r="F28" s="91" t="s">
        <v>26</v>
      </c>
      <c r="G28" s="84" t="str">
        <f t="shared" ref="G28:G35" si="8">C4</f>
        <v>High Risk</v>
      </c>
    </row>
    <row r="29" spans="1:7" ht="15" thickBot="1" x14ac:dyDescent="0.35">
      <c r="A29" s="190"/>
      <c r="B29" s="92" t="s">
        <v>242</v>
      </c>
      <c r="C29" s="76" t="str">
        <f t="shared" si="7"/>
        <v>BSC</v>
      </c>
      <c r="E29" s="190"/>
      <c r="F29" s="92" t="s">
        <v>242</v>
      </c>
      <c r="G29" s="76" t="str">
        <f t="shared" si="8"/>
        <v>BSC</v>
      </c>
    </row>
    <row r="30" spans="1:7" ht="15" thickBot="1" x14ac:dyDescent="0.35">
      <c r="A30" s="190"/>
      <c r="B30" s="93" t="s">
        <v>292</v>
      </c>
      <c r="C30" s="87" t="str">
        <f t="shared" si="7"/>
        <v>No</v>
      </c>
      <c r="E30" s="190"/>
      <c r="F30" s="93" t="s">
        <v>292</v>
      </c>
      <c r="G30" s="87" t="str">
        <f t="shared" si="8"/>
        <v>No</v>
      </c>
    </row>
    <row r="31" spans="1:7" x14ac:dyDescent="0.3">
      <c r="A31" s="191" t="s">
        <v>307</v>
      </c>
      <c r="B31" s="94" t="s">
        <v>295</v>
      </c>
      <c r="C31" s="88" t="str">
        <f t="shared" si="7"/>
        <v>No</v>
      </c>
      <c r="E31" s="191" t="s">
        <v>307</v>
      </c>
      <c r="F31" s="94" t="s">
        <v>295</v>
      </c>
      <c r="G31" s="88" t="str">
        <f t="shared" si="8"/>
        <v>No</v>
      </c>
    </row>
    <row r="32" spans="1:7" x14ac:dyDescent="0.3">
      <c r="A32" s="191"/>
      <c r="B32" s="96" t="s">
        <v>296</v>
      </c>
      <c r="C32" s="97" t="str">
        <f t="shared" si="7"/>
        <v>No</v>
      </c>
      <c r="E32" s="191"/>
      <c r="F32" s="96" t="s">
        <v>296</v>
      </c>
      <c r="G32" s="97" t="str">
        <f t="shared" si="8"/>
        <v>No</v>
      </c>
    </row>
    <row r="33" spans="1:7" ht="15" customHeight="1" thickBot="1" x14ac:dyDescent="0.35">
      <c r="A33" s="191"/>
      <c r="B33" s="95" t="s">
        <v>305</v>
      </c>
      <c r="C33" s="89" t="str">
        <f t="shared" si="7"/>
        <v>Murder</v>
      </c>
      <c r="E33" s="191"/>
      <c r="F33" s="95" t="s">
        <v>305</v>
      </c>
      <c r="G33" s="89" t="str">
        <f t="shared" si="8"/>
        <v>Murder</v>
      </c>
    </row>
    <row r="34" spans="1:7" ht="15" thickBot="1" x14ac:dyDescent="0.35">
      <c r="A34" s="191"/>
      <c r="B34" s="127" t="s">
        <v>507</v>
      </c>
      <c r="C34" s="107" t="str">
        <f t="shared" si="7"/>
        <v>White British</v>
      </c>
      <c r="E34" s="191"/>
      <c r="F34" s="127" t="s">
        <v>507</v>
      </c>
      <c r="G34" s="106" t="str">
        <f t="shared" si="8"/>
        <v>White British</v>
      </c>
    </row>
    <row r="35" spans="1:7" ht="16.2" thickBot="1" x14ac:dyDescent="0.35">
      <c r="A35" s="191"/>
      <c r="B35" s="86"/>
      <c r="C35" s="69" t="str">
        <f t="shared" si="7"/>
        <v>Saunders</v>
      </c>
      <c r="E35" s="191"/>
      <c r="F35" s="86"/>
      <c r="G35" s="69" t="str">
        <f t="shared" si="8"/>
        <v>Saunders</v>
      </c>
    </row>
    <row r="36" spans="1:7" x14ac:dyDescent="0.3">
      <c r="A36" s="102"/>
    </row>
    <row r="37" spans="1:7" ht="15.6" x14ac:dyDescent="0.3">
      <c r="A37" s="90" t="str">
        <f t="shared" ref="A37:C37" si="9">A25</f>
        <v>A1234AA</v>
      </c>
      <c r="B37" s="90" t="str">
        <f t="shared" si="9"/>
        <v>KIRSTY</v>
      </c>
      <c r="C37" s="90" t="str">
        <f t="shared" si="9"/>
        <v>SAUNDERS</v>
      </c>
      <c r="E37" s="90" t="str">
        <f t="shared" ref="E37:G37" si="10">A25</f>
        <v>A1234AA</v>
      </c>
      <c r="F37" s="90" t="str">
        <f t="shared" si="10"/>
        <v>KIRSTY</v>
      </c>
      <c r="G37" s="90" t="str">
        <f t="shared" si="10"/>
        <v>SAUNDERS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 t="str">
        <f t="shared" ref="C40:C47" si="11">C4</f>
        <v>High Risk</v>
      </c>
      <c r="E40" s="190"/>
      <c r="F40" s="91" t="s">
        <v>26</v>
      </c>
      <c r="G40" s="84" t="str">
        <f t="shared" ref="G40:G47" si="12">C4</f>
        <v>High Risk</v>
      </c>
    </row>
    <row r="41" spans="1:7" ht="15" thickBot="1" x14ac:dyDescent="0.35">
      <c r="A41" s="190"/>
      <c r="B41" s="92" t="s">
        <v>242</v>
      </c>
      <c r="C41" s="76" t="str">
        <f t="shared" si="11"/>
        <v>BSC</v>
      </c>
      <c r="E41" s="190"/>
      <c r="F41" s="92" t="s">
        <v>242</v>
      </c>
      <c r="G41" s="76" t="str">
        <f t="shared" si="12"/>
        <v>BSC</v>
      </c>
    </row>
    <row r="42" spans="1:7" ht="15" thickBot="1" x14ac:dyDescent="0.35">
      <c r="A42" s="190"/>
      <c r="B42" s="93" t="s">
        <v>292</v>
      </c>
      <c r="C42" s="87" t="str">
        <f t="shared" si="11"/>
        <v>No</v>
      </c>
      <c r="E42" s="190"/>
      <c r="F42" s="93" t="s">
        <v>292</v>
      </c>
      <c r="G42" s="87" t="str">
        <f t="shared" si="12"/>
        <v>No</v>
      </c>
    </row>
    <row r="43" spans="1:7" x14ac:dyDescent="0.3">
      <c r="A43" s="191" t="s">
        <v>307</v>
      </c>
      <c r="B43" s="94" t="s">
        <v>295</v>
      </c>
      <c r="C43" s="88" t="str">
        <f t="shared" si="11"/>
        <v>No</v>
      </c>
      <c r="E43" s="191" t="s">
        <v>307</v>
      </c>
      <c r="F43" s="94" t="s">
        <v>295</v>
      </c>
      <c r="G43" s="88" t="str">
        <f t="shared" si="12"/>
        <v>No</v>
      </c>
    </row>
    <row r="44" spans="1:7" x14ac:dyDescent="0.3">
      <c r="A44" s="191"/>
      <c r="B44" s="96" t="s">
        <v>296</v>
      </c>
      <c r="C44" s="97" t="str">
        <f t="shared" si="11"/>
        <v>No</v>
      </c>
      <c r="E44" s="191"/>
      <c r="F44" s="96" t="s">
        <v>296</v>
      </c>
      <c r="G44" s="97" t="str">
        <f t="shared" si="12"/>
        <v>No</v>
      </c>
    </row>
    <row r="45" spans="1:7" ht="15" thickBot="1" x14ac:dyDescent="0.35">
      <c r="A45" s="191"/>
      <c r="B45" s="95" t="s">
        <v>305</v>
      </c>
      <c r="C45" s="89" t="str">
        <f t="shared" si="11"/>
        <v>Murder</v>
      </c>
      <c r="E45" s="191"/>
      <c r="F45" s="95" t="s">
        <v>305</v>
      </c>
      <c r="G45" s="89" t="str">
        <f t="shared" si="12"/>
        <v>Murder</v>
      </c>
    </row>
    <row r="46" spans="1:7" ht="15" thickBot="1" x14ac:dyDescent="0.35">
      <c r="A46" s="191"/>
      <c r="B46" s="127" t="s">
        <v>507</v>
      </c>
      <c r="C46" s="107" t="str">
        <f t="shared" si="11"/>
        <v>White British</v>
      </c>
      <c r="E46" s="191"/>
      <c r="F46" s="127" t="s">
        <v>507</v>
      </c>
      <c r="G46" s="106" t="str">
        <f t="shared" si="12"/>
        <v>White British</v>
      </c>
    </row>
    <row r="47" spans="1:7" ht="16.2" thickBot="1" x14ac:dyDescent="0.35">
      <c r="A47" s="191"/>
      <c r="B47" s="86"/>
      <c r="C47" s="69" t="str">
        <f t="shared" si="11"/>
        <v>Saunders</v>
      </c>
      <c r="E47" s="191"/>
      <c r="F47" s="86"/>
      <c r="G47" s="69" t="str">
        <f t="shared" si="12"/>
        <v>Saunders</v>
      </c>
    </row>
    <row r="49" spans="1:7" ht="15.6" x14ac:dyDescent="0.3">
      <c r="A49" s="90" t="str">
        <f t="shared" ref="A49:C49" si="13">A25</f>
        <v>A1234AA</v>
      </c>
      <c r="B49" s="90" t="str">
        <f t="shared" si="13"/>
        <v>KIRSTY</v>
      </c>
      <c r="C49" s="90" t="str">
        <f t="shared" si="13"/>
        <v>SAUNDERS</v>
      </c>
      <c r="E49" s="90" t="str">
        <f t="shared" ref="E49:G49" si="14">A25</f>
        <v>A1234AA</v>
      </c>
      <c r="F49" s="90" t="str">
        <f t="shared" si="14"/>
        <v>KIRSTY</v>
      </c>
      <c r="G49" s="90" t="str">
        <f t="shared" si="14"/>
        <v>SAUNDERS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 t="str">
        <f t="shared" ref="C52:C59" si="15">C4</f>
        <v>High Risk</v>
      </c>
      <c r="E52" s="190"/>
      <c r="F52" s="91" t="s">
        <v>26</v>
      </c>
      <c r="G52" s="84" t="str">
        <f t="shared" ref="G52:G59" si="16">C4</f>
        <v>High Risk</v>
      </c>
    </row>
    <row r="53" spans="1:7" ht="15" thickBot="1" x14ac:dyDescent="0.35">
      <c r="A53" s="190"/>
      <c r="B53" s="92" t="s">
        <v>242</v>
      </c>
      <c r="C53" s="76" t="str">
        <f t="shared" si="15"/>
        <v>BSC</v>
      </c>
      <c r="E53" s="190"/>
      <c r="F53" s="92" t="s">
        <v>242</v>
      </c>
      <c r="G53" s="76" t="str">
        <f t="shared" si="16"/>
        <v>BSC</v>
      </c>
    </row>
    <row r="54" spans="1:7" ht="15" thickBot="1" x14ac:dyDescent="0.35">
      <c r="A54" s="190"/>
      <c r="B54" s="93" t="s">
        <v>292</v>
      </c>
      <c r="C54" s="87" t="str">
        <f t="shared" si="15"/>
        <v>No</v>
      </c>
      <c r="E54" s="190"/>
      <c r="F54" s="93" t="s">
        <v>292</v>
      </c>
      <c r="G54" s="87" t="str">
        <f t="shared" si="16"/>
        <v>No</v>
      </c>
    </row>
    <row r="55" spans="1:7" x14ac:dyDescent="0.3">
      <c r="A55" s="191" t="s">
        <v>307</v>
      </c>
      <c r="B55" s="94" t="s">
        <v>295</v>
      </c>
      <c r="C55" s="88" t="str">
        <f t="shared" si="15"/>
        <v>No</v>
      </c>
      <c r="E55" s="191" t="s">
        <v>307</v>
      </c>
      <c r="F55" s="94" t="s">
        <v>295</v>
      </c>
      <c r="G55" s="88" t="str">
        <f t="shared" si="16"/>
        <v>No</v>
      </c>
    </row>
    <row r="56" spans="1:7" x14ac:dyDescent="0.3">
      <c r="A56" s="191"/>
      <c r="B56" s="96" t="s">
        <v>296</v>
      </c>
      <c r="C56" s="97" t="str">
        <f t="shared" si="15"/>
        <v>No</v>
      </c>
      <c r="E56" s="191"/>
      <c r="F56" s="96" t="s">
        <v>296</v>
      </c>
      <c r="G56" s="97" t="str">
        <f t="shared" si="16"/>
        <v>No</v>
      </c>
    </row>
    <row r="57" spans="1:7" ht="15" thickBot="1" x14ac:dyDescent="0.35">
      <c r="A57" s="191"/>
      <c r="B57" s="95" t="s">
        <v>305</v>
      </c>
      <c r="C57" s="89" t="str">
        <f t="shared" si="15"/>
        <v>Murder</v>
      </c>
      <c r="E57" s="191"/>
      <c r="F57" s="95" t="s">
        <v>305</v>
      </c>
      <c r="G57" s="89" t="str">
        <f t="shared" si="16"/>
        <v>Murder</v>
      </c>
    </row>
    <row r="58" spans="1:7" ht="15" thickBot="1" x14ac:dyDescent="0.35">
      <c r="A58" s="191"/>
      <c r="B58" s="127" t="s">
        <v>507</v>
      </c>
      <c r="C58" s="107" t="str">
        <f t="shared" si="15"/>
        <v>White British</v>
      </c>
      <c r="E58" s="191"/>
      <c r="F58" s="127" t="s">
        <v>507</v>
      </c>
      <c r="G58" s="106" t="str">
        <f t="shared" si="16"/>
        <v>White British</v>
      </c>
    </row>
    <row r="59" spans="1:7" ht="16.2" thickBot="1" x14ac:dyDescent="0.35">
      <c r="A59" s="191"/>
      <c r="B59" s="86"/>
      <c r="C59" s="69" t="str">
        <f t="shared" si="15"/>
        <v>Saunders</v>
      </c>
      <c r="E59" s="191"/>
      <c r="F59" s="86"/>
      <c r="G59" s="69" t="str">
        <f t="shared" si="16"/>
        <v>Saunders</v>
      </c>
    </row>
  </sheetData>
  <mergeCells count="30">
    <mergeCell ref="E55:E59"/>
    <mergeCell ref="A55:A59"/>
    <mergeCell ref="A7:A11"/>
    <mergeCell ref="A3:A6"/>
    <mergeCell ref="E3:E6"/>
    <mergeCell ref="E7:E11"/>
    <mergeCell ref="B51:C51"/>
    <mergeCell ref="A15:A18"/>
    <mergeCell ref="A19:A23"/>
    <mergeCell ref="E15:E18"/>
    <mergeCell ref="E19:E23"/>
    <mergeCell ref="A27:A30"/>
    <mergeCell ref="A31:A35"/>
    <mergeCell ref="E27:E30"/>
    <mergeCell ref="E31:E35"/>
    <mergeCell ref="A39:A42"/>
    <mergeCell ref="E39:E42"/>
    <mergeCell ref="A43:A47"/>
    <mergeCell ref="A51:A54"/>
    <mergeCell ref="F51:G51"/>
    <mergeCell ref="B3:C3"/>
    <mergeCell ref="F3:G3"/>
    <mergeCell ref="B15:C15"/>
    <mergeCell ref="F15:G15"/>
    <mergeCell ref="B27:C27"/>
    <mergeCell ref="F27:G27"/>
    <mergeCell ref="B39:C39"/>
    <mergeCell ref="F39:G39"/>
    <mergeCell ref="E43:E47"/>
    <mergeCell ref="E51:E54"/>
  </mergeCells>
  <pageMargins left="0" right="0" top="0.35433070866141736" bottom="0" header="0" footer="0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topLeftCell="A25"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Sheet'!C7</f>
        <v>0</v>
      </c>
      <c r="B1" s="90">
        <f>'Movements Sheet'!B7</f>
        <v>0</v>
      </c>
      <c r="C1" s="90">
        <f>'Movements Sheet'!A7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Sheet'!F7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Sheet'!J7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Sheet'!H7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x14ac:dyDescent="0.3">
      <c r="A7" s="191" t="s">
        <v>307</v>
      </c>
      <c r="B7" s="94" t="s">
        <v>295</v>
      </c>
      <c r="C7" s="88">
        <f>'Movements Sheet'!K7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Sheet'!L7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Sheet'!N7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Sheet'!M7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ht="15" customHeight="1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A55:A59"/>
    <mergeCell ref="E51:E54"/>
    <mergeCell ref="E55:E59"/>
    <mergeCell ref="A39:A42"/>
    <mergeCell ref="A43:A47"/>
    <mergeCell ref="E39:E42"/>
    <mergeCell ref="E43:E47"/>
    <mergeCell ref="A51:A54"/>
    <mergeCell ref="B39:C39"/>
    <mergeCell ref="A19:A23"/>
    <mergeCell ref="E15:E18"/>
    <mergeCell ref="E19:E23"/>
    <mergeCell ref="A27:A30"/>
    <mergeCell ref="A31:A35"/>
    <mergeCell ref="E27:E30"/>
    <mergeCell ref="E31:E35"/>
    <mergeCell ref="A3:A6"/>
    <mergeCell ref="A7:A11"/>
    <mergeCell ref="E3:E6"/>
    <mergeCell ref="E7:E11"/>
    <mergeCell ref="A15:A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</mergeCells>
  <pageMargins left="0" right="0" top="0.35433070866141736" bottom="0" header="0" footer="0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Sheet'!C8</f>
        <v>0</v>
      </c>
      <c r="B1" s="90">
        <f>'Movements Sheet'!B8</f>
        <v>0</v>
      </c>
      <c r="C1" s="90">
        <f>'Movements Sheet'!A8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Sheet'!F8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Sheet'!J8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Sheet'!H8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x14ac:dyDescent="0.3">
      <c r="A7" s="191" t="s">
        <v>307</v>
      </c>
      <c r="B7" s="94" t="s">
        <v>295</v>
      </c>
      <c r="C7" s="88">
        <f>'Movements Sheet'!K8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Sheet'!L8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Sheet'!N8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Sheet'!M8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A39:A42"/>
    <mergeCell ref="A43:A47"/>
    <mergeCell ref="A51:A54"/>
    <mergeCell ref="A55:A59"/>
    <mergeCell ref="E51:E54"/>
    <mergeCell ref="E55:E59"/>
    <mergeCell ref="B39:C39"/>
    <mergeCell ref="A19:A23"/>
    <mergeCell ref="E15:E18"/>
    <mergeCell ref="E19:E23"/>
    <mergeCell ref="A27:A30"/>
    <mergeCell ref="A31:A35"/>
    <mergeCell ref="E27:E30"/>
    <mergeCell ref="E31:E35"/>
    <mergeCell ref="A3:A6"/>
    <mergeCell ref="A7:A11"/>
    <mergeCell ref="E3:E6"/>
    <mergeCell ref="E7:E11"/>
    <mergeCell ref="A15:A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  <mergeCell ref="E39:E42"/>
    <mergeCell ref="E43:E47"/>
  </mergeCells>
  <pageMargins left="0" right="0" top="0.35433070866141736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topLeftCell="A37"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Sheet'!C9</f>
        <v>0</v>
      </c>
      <c r="B1" s="90">
        <f>'Movements Sheet'!B9</f>
        <v>0</v>
      </c>
      <c r="C1" s="90">
        <f>'Movements Sheet'!A9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Sheet'!F9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Sheet'!J9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Sheet'!H9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ht="15" customHeight="1" x14ac:dyDescent="0.3">
      <c r="A7" s="191" t="s">
        <v>307</v>
      </c>
      <c r="B7" s="94" t="s">
        <v>295</v>
      </c>
      <c r="C7" s="88">
        <f>'Movements Sheet'!K9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Sheet'!L9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Sheet'!N9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Sheet'!M9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ht="15" customHeight="1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A39:A42"/>
    <mergeCell ref="A43:A47"/>
    <mergeCell ref="E51:E54"/>
    <mergeCell ref="E55:E59"/>
    <mergeCell ref="A51:A54"/>
    <mergeCell ref="A55:A59"/>
    <mergeCell ref="B39:C39"/>
    <mergeCell ref="A19:A23"/>
    <mergeCell ref="E19:E23"/>
    <mergeCell ref="A27:A30"/>
    <mergeCell ref="A31:A35"/>
    <mergeCell ref="E27:E30"/>
    <mergeCell ref="E31:E35"/>
    <mergeCell ref="A3:A6"/>
    <mergeCell ref="A7:A11"/>
    <mergeCell ref="E3:E6"/>
    <mergeCell ref="E7:E11"/>
    <mergeCell ref="A15:A18"/>
    <mergeCell ref="E15:E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  <mergeCell ref="E39:E42"/>
    <mergeCell ref="E43:E47"/>
  </mergeCells>
  <pageMargins left="0" right="0" top="0.35433070866141736" bottom="0" header="0" footer="0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topLeftCell="A40"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Sheet'!C10</f>
        <v>0</v>
      </c>
      <c r="B1" s="90">
        <f>'Movements Sheet'!B10</f>
        <v>0</v>
      </c>
      <c r="C1" s="90">
        <f>'Movements Sheet'!A10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Sheet'!F10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Sheet'!J10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Sheet'!H10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x14ac:dyDescent="0.3">
      <c r="A7" s="191" t="s">
        <v>307</v>
      </c>
      <c r="B7" s="94" t="s">
        <v>295</v>
      </c>
      <c r="C7" s="88">
        <f>'Movements Sheet'!K10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Sheet'!L10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Sheet'!N10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Sheet'!M10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ht="15" customHeight="1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ht="15" customHeight="1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ht="15" customHeight="1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A55:A59"/>
    <mergeCell ref="E51:E54"/>
    <mergeCell ref="E55:E59"/>
    <mergeCell ref="A39:A42"/>
    <mergeCell ref="A43:A47"/>
    <mergeCell ref="E39:E42"/>
    <mergeCell ref="E43:E47"/>
    <mergeCell ref="A51:A54"/>
    <mergeCell ref="B39:C39"/>
    <mergeCell ref="A19:A23"/>
    <mergeCell ref="E15:E18"/>
    <mergeCell ref="E19:E23"/>
    <mergeCell ref="A27:A30"/>
    <mergeCell ref="A31:A35"/>
    <mergeCell ref="E27:E30"/>
    <mergeCell ref="E31:E35"/>
    <mergeCell ref="A3:A6"/>
    <mergeCell ref="A7:A11"/>
    <mergeCell ref="E3:E6"/>
    <mergeCell ref="E7:E11"/>
    <mergeCell ref="A15:A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</mergeCells>
  <pageMargins left="0" right="0" top="0.35433070866141736" bottom="0" header="0" footer="0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topLeftCell="A40"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Sheet'!C11</f>
        <v>0</v>
      </c>
      <c r="B1" s="90">
        <f>'Movements Sheet'!B11</f>
        <v>0</v>
      </c>
      <c r="C1" s="90">
        <f>'Movements Sheet'!A11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Sheet'!F11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Sheet'!J11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Sheet'!H11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x14ac:dyDescent="0.3">
      <c r="A7" s="191" t="s">
        <v>307</v>
      </c>
      <c r="B7" s="94" t="s">
        <v>295</v>
      </c>
      <c r="C7" s="88">
        <f>'Movements Sheet'!K11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Sheet'!L11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Sheet'!N11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Sheet'!M11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A39:A42"/>
    <mergeCell ref="A43:A47"/>
    <mergeCell ref="A51:A54"/>
    <mergeCell ref="A55:A59"/>
    <mergeCell ref="E51:E54"/>
    <mergeCell ref="E55:E59"/>
    <mergeCell ref="B39:C39"/>
    <mergeCell ref="A19:A23"/>
    <mergeCell ref="E27:E30"/>
    <mergeCell ref="E31:E35"/>
    <mergeCell ref="A27:A30"/>
    <mergeCell ref="A31:A35"/>
    <mergeCell ref="A3:A6"/>
    <mergeCell ref="A7:A11"/>
    <mergeCell ref="E3:E6"/>
    <mergeCell ref="E7:E11"/>
    <mergeCell ref="E15:E18"/>
    <mergeCell ref="A15:A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  <mergeCell ref="E19:E23"/>
    <mergeCell ref="E39:E42"/>
    <mergeCell ref="E43:E47"/>
  </mergeCells>
  <pageMargins left="0" right="0" top="0.35433070866141736" bottom="0" header="0" footer="0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topLeftCell="A37"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Sheet'!C12</f>
        <v>0</v>
      </c>
      <c r="B1" s="90">
        <f>'Movements Sheet'!B12</f>
        <v>0</v>
      </c>
      <c r="C1" s="90">
        <f>'Movements Sheet'!A12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Sheet'!F12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Sheet'!J12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Sheet'!H12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x14ac:dyDescent="0.3">
      <c r="A7" s="191" t="s">
        <v>307</v>
      </c>
      <c r="B7" s="94" t="s">
        <v>295</v>
      </c>
      <c r="C7" s="88">
        <f>'Movements Sheet'!K12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Sheet'!L12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Sheet'!N12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Sheet'!M12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A39:A42"/>
    <mergeCell ref="A43:A47"/>
    <mergeCell ref="E51:E54"/>
    <mergeCell ref="E55:E59"/>
    <mergeCell ref="A51:A54"/>
    <mergeCell ref="A55:A59"/>
    <mergeCell ref="B39:C39"/>
    <mergeCell ref="A19:A23"/>
    <mergeCell ref="A27:A30"/>
    <mergeCell ref="A31:A35"/>
    <mergeCell ref="E27:E30"/>
    <mergeCell ref="E31:E35"/>
    <mergeCell ref="A3:A6"/>
    <mergeCell ref="A7:A11"/>
    <mergeCell ref="E3:E6"/>
    <mergeCell ref="E7:E11"/>
    <mergeCell ref="E15:E18"/>
    <mergeCell ref="A15:A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  <mergeCell ref="E19:E23"/>
    <mergeCell ref="E39:E42"/>
    <mergeCell ref="E43:E47"/>
  </mergeCells>
  <pageMargins left="0" right="0" top="0.35433070866141736" bottom="0" header="0" footer="0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topLeftCell="A37"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Sheet'!C13</f>
        <v>0</v>
      </c>
      <c r="B1" s="90">
        <f>'Movements Sheet'!B13</f>
        <v>0</v>
      </c>
      <c r="C1" s="90">
        <f>'Movements Sheet'!A13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Sheet'!F13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Sheet'!J13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Sheet'!H13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x14ac:dyDescent="0.3">
      <c r="A7" s="191" t="s">
        <v>307</v>
      </c>
      <c r="B7" s="94" t="s">
        <v>295</v>
      </c>
      <c r="C7" s="88">
        <f>'Movements Sheet'!K13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Sheet'!L13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Sheet'!N13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Sheet'!M13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A55:A59"/>
    <mergeCell ref="E51:E54"/>
    <mergeCell ref="E55:E59"/>
    <mergeCell ref="A39:A42"/>
    <mergeCell ref="A43:A47"/>
    <mergeCell ref="E39:E42"/>
    <mergeCell ref="E43:E47"/>
    <mergeCell ref="A51:A54"/>
    <mergeCell ref="B39:C39"/>
    <mergeCell ref="A19:A23"/>
    <mergeCell ref="A27:A30"/>
    <mergeCell ref="A31:A35"/>
    <mergeCell ref="E27:E30"/>
    <mergeCell ref="E31:E35"/>
    <mergeCell ref="A3:A6"/>
    <mergeCell ref="A7:A11"/>
    <mergeCell ref="E3:E6"/>
    <mergeCell ref="E7:E11"/>
    <mergeCell ref="E15:E18"/>
    <mergeCell ref="A15:A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  <mergeCell ref="E19:E23"/>
  </mergeCells>
  <pageMargins left="0" right="0" top="0.35433070866141736" bottom="0" header="0" footer="0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topLeftCell="A31"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Sheet'!C14</f>
        <v>0</v>
      </c>
      <c r="B1" s="90">
        <f>'Movements Sheet'!B14</f>
        <v>0</v>
      </c>
      <c r="C1" s="90">
        <f>'Movements Sheet'!A14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Sheet'!F14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Sheet'!J14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Sheet'!H14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x14ac:dyDescent="0.3">
      <c r="A7" s="191" t="s">
        <v>307</v>
      </c>
      <c r="B7" s="94" t="s">
        <v>295</v>
      </c>
      <c r="C7" s="88">
        <f>'Movements Sheet'!K14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Sheet'!L14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Sheet'!N14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Sheet'!M14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ht="15" customHeight="1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ht="15" customHeight="1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ht="15" customHeight="1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E55:E59"/>
    <mergeCell ref="A51:A54"/>
    <mergeCell ref="A55:A59"/>
    <mergeCell ref="A39:A42"/>
    <mergeCell ref="A43:A47"/>
    <mergeCell ref="E39:E42"/>
    <mergeCell ref="E43:E47"/>
    <mergeCell ref="E51:E54"/>
    <mergeCell ref="B39:C39"/>
    <mergeCell ref="A19:A23"/>
    <mergeCell ref="E15:E18"/>
    <mergeCell ref="E19:E23"/>
    <mergeCell ref="E27:E30"/>
    <mergeCell ref="E31:E35"/>
    <mergeCell ref="A27:A30"/>
    <mergeCell ref="A31:A35"/>
    <mergeCell ref="A3:A6"/>
    <mergeCell ref="A7:A11"/>
    <mergeCell ref="E3:E6"/>
    <mergeCell ref="E7:E11"/>
    <mergeCell ref="A15:A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</mergeCells>
  <pageMargins left="0" right="0" top="0.35433070866141736" bottom="0" header="0" footer="0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topLeftCell="A25"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Sheet'!C15</f>
        <v>0</v>
      </c>
      <c r="B1" s="90">
        <f>'Movements Sheet'!B15</f>
        <v>0</v>
      </c>
      <c r="C1" s="90">
        <f>'Movements Sheet'!A15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Sheet'!F15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Sheet'!J15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Sheet'!H15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x14ac:dyDescent="0.3">
      <c r="A7" s="191" t="s">
        <v>307</v>
      </c>
      <c r="B7" s="94" t="s">
        <v>295</v>
      </c>
      <c r="C7" s="88">
        <f>'Movements Sheet'!K15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Sheet'!L15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Sheet'!N15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Sheet'!M15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ht="15" customHeight="1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ht="15" customHeight="1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E55:E59"/>
    <mergeCell ref="A51:A54"/>
    <mergeCell ref="A55:A59"/>
    <mergeCell ref="A39:A42"/>
    <mergeCell ref="A43:A47"/>
    <mergeCell ref="E39:E42"/>
    <mergeCell ref="E43:E47"/>
    <mergeCell ref="E51:E54"/>
    <mergeCell ref="B39:C39"/>
    <mergeCell ref="A19:A23"/>
    <mergeCell ref="E15:E18"/>
    <mergeCell ref="E19:E23"/>
    <mergeCell ref="A27:A30"/>
    <mergeCell ref="A31:A35"/>
    <mergeCell ref="E27:E30"/>
    <mergeCell ref="E31:E35"/>
    <mergeCell ref="A3:A6"/>
    <mergeCell ref="A7:A11"/>
    <mergeCell ref="E3:E6"/>
    <mergeCell ref="E7:E11"/>
    <mergeCell ref="A15:A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</mergeCells>
  <pageMargins left="0" right="0" top="0.35433070866141736" bottom="0" header="0" footer="0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topLeftCell="A37"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Sheet'!C16</f>
        <v>0</v>
      </c>
      <c r="B1" s="90">
        <f>'Movements Sheet'!B16</f>
        <v>0</v>
      </c>
      <c r="C1" s="90">
        <f>'Movements Sheet'!A16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Sheet'!F16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Sheet'!J16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Sheet'!H16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ht="15" customHeight="1" x14ac:dyDescent="0.3">
      <c r="A7" s="191" t="s">
        <v>307</v>
      </c>
      <c r="B7" s="94" t="s">
        <v>295</v>
      </c>
      <c r="C7" s="88">
        <f>'Movements Sheet'!K16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Sheet'!L16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Sheet'!N16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Sheet'!M16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A55:A59"/>
    <mergeCell ref="E51:E54"/>
    <mergeCell ref="E55:E59"/>
    <mergeCell ref="A39:A42"/>
    <mergeCell ref="A43:A47"/>
    <mergeCell ref="E39:E42"/>
    <mergeCell ref="E43:E47"/>
    <mergeCell ref="A51:A54"/>
    <mergeCell ref="B39:C39"/>
    <mergeCell ref="A19:A23"/>
    <mergeCell ref="A27:A30"/>
    <mergeCell ref="A31:A35"/>
    <mergeCell ref="E27:E30"/>
    <mergeCell ref="E31:E35"/>
    <mergeCell ref="A3:A6"/>
    <mergeCell ref="A7:A11"/>
    <mergeCell ref="E3:E6"/>
    <mergeCell ref="E7:E11"/>
    <mergeCell ref="E15:E18"/>
    <mergeCell ref="A15:A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  <mergeCell ref="E19:E23"/>
  </mergeCells>
  <pageMargins left="0" right="0" top="0.35433070866141736" bottom="0" header="0" footer="0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topLeftCell="A31" workbookViewId="0">
      <selection activeCell="F58" sqref="F58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6" x14ac:dyDescent="0.3">
      <c r="A1" s="90">
        <f>'Movements Sheet'!C17</f>
        <v>0</v>
      </c>
      <c r="B1" s="90">
        <f>'Movements Sheet'!B17</f>
        <v>0</v>
      </c>
      <c r="C1" s="90">
        <f>'Movements Sheet'!A17</f>
        <v>0</v>
      </c>
      <c r="E1" s="90">
        <f t="shared" ref="E1:G1" si="0">A1</f>
        <v>0</v>
      </c>
      <c r="F1" s="90">
        <f t="shared" si="0"/>
        <v>0</v>
      </c>
      <c r="G1" s="90">
        <f t="shared" si="0"/>
        <v>0</v>
      </c>
    </row>
    <row r="2" spans="1:10" ht="7.5" customHeight="1" thickBot="1" x14ac:dyDescent="0.35">
      <c r="A2" s="103"/>
    </row>
    <row r="3" spans="1:10" ht="11.25" customHeight="1" x14ac:dyDescent="0.3">
      <c r="A3" s="190">
        <f ca="1">TODAY()</f>
        <v>42822</v>
      </c>
      <c r="B3" s="192" t="s">
        <v>291</v>
      </c>
      <c r="C3" s="193"/>
      <c r="E3" s="190">
        <f ca="1">TODAY()</f>
        <v>42822</v>
      </c>
      <c r="F3" s="192" t="s">
        <v>291</v>
      </c>
      <c r="G3" s="193"/>
    </row>
    <row r="4" spans="1:10" x14ac:dyDescent="0.3">
      <c r="A4" s="190"/>
      <c r="B4" s="91" t="s">
        <v>26</v>
      </c>
      <c r="C4" s="84">
        <f>'Movements Sheet'!F17</f>
        <v>0</v>
      </c>
      <c r="E4" s="190"/>
      <c r="F4" s="91" t="s">
        <v>26</v>
      </c>
      <c r="G4" s="84">
        <f t="shared" ref="G4:G11" si="1">C4</f>
        <v>0</v>
      </c>
    </row>
    <row r="5" spans="1:10" ht="15" thickBot="1" x14ac:dyDescent="0.35">
      <c r="A5" s="190"/>
      <c r="B5" s="92" t="s">
        <v>242</v>
      </c>
      <c r="C5" s="76">
        <f>'Movements Sheet'!J17</f>
        <v>0</v>
      </c>
      <c r="E5" s="190"/>
      <c r="F5" s="92" t="s">
        <v>242</v>
      </c>
      <c r="G5" s="76">
        <f t="shared" si="1"/>
        <v>0</v>
      </c>
      <c r="H5" s="101"/>
      <c r="I5" s="101"/>
    </row>
    <row r="6" spans="1:10" ht="15" thickBot="1" x14ac:dyDescent="0.35">
      <c r="A6" s="190"/>
      <c r="B6" s="93" t="s">
        <v>292</v>
      </c>
      <c r="C6" s="87">
        <f>'Movements Sheet'!H17</f>
        <v>0</v>
      </c>
      <c r="E6" s="190"/>
      <c r="F6" s="93" t="s">
        <v>292</v>
      </c>
      <c r="G6" s="87">
        <f t="shared" si="1"/>
        <v>0</v>
      </c>
      <c r="H6" s="79"/>
      <c r="I6" s="79"/>
    </row>
    <row r="7" spans="1:10" x14ac:dyDescent="0.3">
      <c r="A7" s="191" t="s">
        <v>307</v>
      </c>
      <c r="B7" s="94" t="s">
        <v>295</v>
      </c>
      <c r="C7" s="88">
        <f>'Movements Sheet'!K17</f>
        <v>0</v>
      </c>
      <c r="E7" s="191" t="s">
        <v>307</v>
      </c>
      <c r="F7" s="94" t="s">
        <v>295</v>
      </c>
      <c r="G7" s="88">
        <f t="shared" si="1"/>
        <v>0</v>
      </c>
      <c r="H7" s="101"/>
      <c r="I7" s="101"/>
      <c r="J7" s="104"/>
    </row>
    <row r="8" spans="1:10" x14ac:dyDescent="0.3">
      <c r="A8" s="191"/>
      <c r="B8" s="96" t="s">
        <v>296</v>
      </c>
      <c r="C8" s="97">
        <f>'Movements Sheet'!L17</f>
        <v>0</v>
      </c>
      <c r="E8" s="191"/>
      <c r="F8" s="96" t="s">
        <v>296</v>
      </c>
      <c r="G8" s="97">
        <f t="shared" si="1"/>
        <v>0</v>
      </c>
      <c r="H8" s="101"/>
      <c r="I8" s="101"/>
      <c r="J8" s="104"/>
    </row>
    <row r="9" spans="1:10" ht="15" thickBot="1" x14ac:dyDescent="0.35">
      <c r="A9" s="191"/>
      <c r="B9" s="95" t="s">
        <v>305</v>
      </c>
      <c r="C9" s="89">
        <f>'Movements Sheet'!N17</f>
        <v>0</v>
      </c>
      <c r="E9" s="191"/>
      <c r="F9" s="95" t="s">
        <v>305</v>
      </c>
      <c r="G9" s="89">
        <f t="shared" si="1"/>
        <v>0</v>
      </c>
      <c r="H9" s="101"/>
      <c r="I9" s="101"/>
      <c r="J9" s="104"/>
    </row>
    <row r="10" spans="1:10" ht="15.75" customHeight="1" thickBot="1" x14ac:dyDescent="0.35">
      <c r="A10" s="191"/>
      <c r="B10" s="127" t="s">
        <v>507</v>
      </c>
      <c r="C10" s="126">
        <f>'Movements Sheet'!M17</f>
        <v>0</v>
      </c>
      <c r="E10" s="191"/>
      <c r="F10" s="127" t="s">
        <v>507</v>
      </c>
      <c r="G10" s="107">
        <f t="shared" si="1"/>
        <v>0</v>
      </c>
      <c r="H10" s="104"/>
      <c r="I10" s="104"/>
      <c r="J10" s="104"/>
    </row>
    <row r="11" spans="1:10" ht="16.2" thickBot="1" x14ac:dyDescent="0.35">
      <c r="A11" s="191"/>
      <c r="B11" s="86"/>
      <c r="C11" s="69" t="s">
        <v>289</v>
      </c>
      <c r="E11" s="191"/>
      <c r="F11" s="86"/>
      <c r="G11" s="69" t="str">
        <f t="shared" si="1"/>
        <v>Saunders</v>
      </c>
      <c r="H11" s="104"/>
      <c r="I11" s="104"/>
      <c r="J11" s="104"/>
    </row>
    <row r="12" spans="1:10" x14ac:dyDescent="0.3">
      <c r="A12" s="102"/>
    </row>
    <row r="13" spans="1:10" ht="15.6" x14ac:dyDescent="0.3">
      <c r="A13" s="90">
        <f t="shared" ref="A13:C13" si="2">A1</f>
        <v>0</v>
      </c>
      <c r="B13" s="90">
        <f t="shared" si="2"/>
        <v>0</v>
      </c>
      <c r="C13" s="90">
        <f t="shared" si="2"/>
        <v>0</v>
      </c>
      <c r="E13" s="90">
        <f t="shared" ref="E13:G13" si="3">A1</f>
        <v>0</v>
      </c>
      <c r="F13" s="90">
        <f t="shared" si="3"/>
        <v>0</v>
      </c>
      <c r="G13" s="90">
        <f t="shared" si="3"/>
        <v>0</v>
      </c>
    </row>
    <row r="14" spans="1:10" ht="7.5" customHeight="1" thickBot="1" x14ac:dyDescent="0.35">
      <c r="A14" s="103"/>
    </row>
    <row r="15" spans="1:10" ht="11.25" customHeight="1" x14ac:dyDescent="0.3">
      <c r="A15" s="190">
        <f ca="1">TODAY()</f>
        <v>42822</v>
      </c>
      <c r="B15" s="192" t="s">
        <v>291</v>
      </c>
      <c r="C15" s="193"/>
      <c r="E15" s="190">
        <f ca="1">TODAY()</f>
        <v>42822</v>
      </c>
      <c r="F15" s="192" t="s">
        <v>291</v>
      </c>
      <c r="G15" s="193"/>
    </row>
    <row r="16" spans="1:10" x14ac:dyDescent="0.3">
      <c r="A16" s="190"/>
      <c r="B16" s="91" t="s">
        <v>26</v>
      </c>
      <c r="C16" s="84">
        <f t="shared" ref="C16:C23" si="4">C4</f>
        <v>0</v>
      </c>
      <c r="E16" s="190"/>
      <c r="F16" s="91" t="s">
        <v>26</v>
      </c>
      <c r="G16" s="84">
        <f t="shared" ref="G16:G23" si="5">C4</f>
        <v>0</v>
      </c>
    </row>
    <row r="17" spans="1:7" ht="15" thickBot="1" x14ac:dyDescent="0.35">
      <c r="A17" s="190"/>
      <c r="B17" s="92" t="s">
        <v>242</v>
      </c>
      <c r="C17" s="76">
        <f t="shared" si="4"/>
        <v>0</v>
      </c>
      <c r="E17" s="190"/>
      <c r="F17" s="92" t="s">
        <v>242</v>
      </c>
      <c r="G17" s="76">
        <f t="shared" si="5"/>
        <v>0</v>
      </c>
    </row>
    <row r="18" spans="1:7" ht="15" thickBot="1" x14ac:dyDescent="0.35">
      <c r="A18" s="190"/>
      <c r="B18" s="93" t="s">
        <v>292</v>
      </c>
      <c r="C18" s="87">
        <f t="shared" si="4"/>
        <v>0</v>
      </c>
      <c r="E18" s="190"/>
      <c r="F18" s="93" t="s">
        <v>292</v>
      </c>
      <c r="G18" s="87">
        <f t="shared" si="5"/>
        <v>0</v>
      </c>
    </row>
    <row r="19" spans="1:7" x14ac:dyDescent="0.3">
      <c r="A19" s="191" t="s">
        <v>307</v>
      </c>
      <c r="B19" s="94" t="s">
        <v>295</v>
      </c>
      <c r="C19" s="88">
        <f t="shared" si="4"/>
        <v>0</v>
      </c>
      <c r="E19" s="191" t="s">
        <v>307</v>
      </c>
      <c r="F19" s="94" t="s">
        <v>295</v>
      </c>
      <c r="G19" s="88">
        <f t="shared" si="5"/>
        <v>0</v>
      </c>
    </row>
    <row r="20" spans="1:7" x14ac:dyDescent="0.3">
      <c r="A20" s="191"/>
      <c r="B20" s="96" t="s">
        <v>296</v>
      </c>
      <c r="C20" s="97">
        <f t="shared" si="4"/>
        <v>0</v>
      </c>
      <c r="E20" s="191"/>
      <c r="F20" s="96" t="s">
        <v>296</v>
      </c>
      <c r="G20" s="97">
        <f t="shared" si="5"/>
        <v>0</v>
      </c>
    </row>
    <row r="21" spans="1:7" ht="15" thickBot="1" x14ac:dyDescent="0.35">
      <c r="A21" s="191"/>
      <c r="B21" s="95" t="s">
        <v>305</v>
      </c>
      <c r="C21" s="89">
        <f t="shared" si="4"/>
        <v>0</v>
      </c>
      <c r="E21" s="191"/>
      <c r="F21" s="95" t="s">
        <v>305</v>
      </c>
      <c r="G21" s="89">
        <f t="shared" si="5"/>
        <v>0</v>
      </c>
    </row>
    <row r="22" spans="1:7" ht="15" thickBot="1" x14ac:dyDescent="0.35">
      <c r="A22" s="191"/>
      <c r="B22" s="127" t="s">
        <v>507</v>
      </c>
      <c r="C22" s="107">
        <f t="shared" si="4"/>
        <v>0</v>
      </c>
      <c r="E22" s="191"/>
      <c r="F22" s="127" t="s">
        <v>507</v>
      </c>
      <c r="G22" s="106">
        <f t="shared" si="5"/>
        <v>0</v>
      </c>
    </row>
    <row r="23" spans="1:7" ht="16.2" thickBot="1" x14ac:dyDescent="0.35">
      <c r="A23" s="191"/>
      <c r="B23" s="86"/>
      <c r="C23" s="69" t="str">
        <f t="shared" si="4"/>
        <v>Saunders</v>
      </c>
      <c r="E23" s="191"/>
      <c r="F23" s="86"/>
      <c r="G23" s="69" t="str">
        <f t="shared" si="5"/>
        <v>Saunders</v>
      </c>
    </row>
    <row r="24" spans="1:7" x14ac:dyDescent="0.3">
      <c r="A24" s="102"/>
    </row>
    <row r="25" spans="1:7" ht="15.6" x14ac:dyDescent="0.3">
      <c r="A25" s="90">
        <f t="shared" ref="A25:C25" si="6">A1</f>
        <v>0</v>
      </c>
      <c r="B25" s="90">
        <f t="shared" si="6"/>
        <v>0</v>
      </c>
      <c r="C25" s="90">
        <f t="shared" si="6"/>
        <v>0</v>
      </c>
      <c r="E25" s="90">
        <f t="shared" ref="E25:G25" si="7">A1</f>
        <v>0</v>
      </c>
      <c r="F25" s="90">
        <f t="shared" si="7"/>
        <v>0</v>
      </c>
      <c r="G25" s="90">
        <f t="shared" si="7"/>
        <v>0</v>
      </c>
    </row>
    <row r="26" spans="1:7" ht="7.5" customHeight="1" thickBot="1" x14ac:dyDescent="0.35">
      <c r="A26" s="103"/>
    </row>
    <row r="27" spans="1:7" ht="11.25" customHeight="1" x14ac:dyDescent="0.3">
      <c r="A27" s="190">
        <f ca="1">TODAY()</f>
        <v>42822</v>
      </c>
      <c r="B27" s="192" t="s">
        <v>291</v>
      </c>
      <c r="C27" s="193"/>
      <c r="E27" s="190">
        <f ca="1">TODAY()</f>
        <v>42822</v>
      </c>
      <c r="F27" s="192" t="s">
        <v>291</v>
      </c>
      <c r="G27" s="193"/>
    </row>
    <row r="28" spans="1:7" x14ac:dyDescent="0.3">
      <c r="A28" s="190"/>
      <c r="B28" s="91" t="s">
        <v>26</v>
      </c>
      <c r="C28" s="84">
        <f t="shared" ref="C28:C35" si="8">C4</f>
        <v>0</v>
      </c>
      <c r="E28" s="190"/>
      <c r="F28" s="91" t="s">
        <v>26</v>
      </c>
      <c r="G28" s="84">
        <f t="shared" ref="G28:G35" si="9">C4</f>
        <v>0</v>
      </c>
    </row>
    <row r="29" spans="1:7" ht="15" thickBot="1" x14ac:dyDescent="0.35">
      <c r="A29" s="190"/>
      <c r="B29" s="92" t="s">
        <v>242</v>
      </c>
      <c r="C29" s="76">
        <f t="shared" si="8"/>
        <v>0</v>
      </c>
      <c r="E29" s="190"/>
      <c r="F29" s="92" t="s">
        <v>242</v>
      </c>
      <c r="G29" s="76">
        <f t="shared" si="9"/>
        <v>0</v>
      </c>
    </row>
    <row r="30" spans="1:7" ht="15" thickBot="1" x14ac:dyDescent="0.35">
      <c r="A30" s="190"/>
      <c r="B30" s="93" t="s">
        <v>292</v>
      </c>
      <c r="C30" s="87">
        <f t="shared" si="8"/>
        <v>0</v>
      </c>
      <c r="E30" s="190"/>
      <c r="F30" s="93" t="s">
        <v>292</v>
      </c>
      <c r="G30" s="87">
        <f t="shared" si="9"/>
        <v>0</v>
      </c>
    </row>
    <row r="31" spans="1:7" x14ac:dyDescent="0.3">
      <c r="A31" s="191" t="s">
        <v>307</v>
      </c>
      <c r="B31" s="94" t="s">
        <v>295</v>
      </c>
      <c r="C31" s="88">
        <f t="shared" si="8"/>
        <v>0</v>
      </c>
      <c r="E31" s="191" t="s">
        <v>307</v>
      </c>
      <c r="F31" s="94" t="s">
        <v>295</v>
      </c>
      <c r="G31" s="88">
        <f t="shared" si="9"/>
        <v>0</v>
      </c>
    </row>
    <row r="32" spans="1:7" x14ac:dyDescent="0.3">
      <c r="A32" s="191"/>
      <c r="B32" s="96" t="s">
        <v>296</v>
      </c>
      <c r="C32" s="97">
        <f t="shared" si="8"/>
        <v>0</v>
      </c>
      <c r="E32" s="191"/>
      <c r="F32" s="96" t="s">
        <v>296</v>
      </c>
      <c r="G32" s="97">
        <f t="shared" si="9"/>
        <v>0</v>
      </c>
    </row>
    <row r="33" spans="1:7" ht="15" customHeight="1" thickBot="1" x14ac:dyDescent="0.35">
      <c r="A33" s="191"/>
      <c r="B33" s="95" t="s">
        <v>305</v>
      </c>
      <c r="C33" s="89">
        <f t="shared" si="8"/>
        <v>0</v>
      </c>
      <c r="E33" s="191"/>
      <c r="F33" s="95" t="s">
        <v>305</v>
      </c>
      <c r="G33" s="89">
        <f t="shared" si="9"/>
        <v>0</v>
      </c>
    </row>
    <row r="34" spans="1:7" ht="15" thickBot="1" x14ac:dyDescent="0.35">
      <c r="A34" s="191"/>
      <c r="B34" s="127" t="s">
        <v>507</v>
      </c>
      <c r="C34" s="107">
        <f t="shared" si="8"/>
        <v>0</v>
      </c>
      <c r="E34" s="191"/>
      <c r="F34" s="127" t="s">
        <v>507</v>
      </c>
      <c r="G34" s="106">
        <f t="shared" si="9"/>
        <v>0</v>
      </c>
    </row>
    <row r="35" spans="1:7" ht="16.2" thickBot="1" x14ac:dyDescent="0.35">
      <c r="A35" s="191"/>
      <c r="B35" s="86"/>
      <c r="C35" s="69" t="str">
        <f t="shared" si="8"/>
        <v>Saunders</v>
      </c>
      <c r="E35" s="191"/>
      <c r="F35" s="86"/>
      <c r="G35" s="69" t="str">
        <f t="shared" si="9"/>
        <v>Saunders</v>
      </c>
    </row>
    <row r="36" spans="1:7" x14ac:dyDescent="0.3">
      <c r="A36" s="102"/>
    </row>
    <row r="37" spans="1:7" ht="15.6" x14ac:dyDescent="0.3">
      <c r="A37" s="90">
        <f t="shared" ref="A37:C37" si="10">A25</f>
        <v>0</v>
      </c>
      <c r="B37" s="90">
        <f t="shared" si="10"/>
        <v>0</v>
      </c>
      <c r="C37" s="90">
        <f t="shared" si="10"/>
        <v>0</v>
      </c>
      <c r="E37" s="90">
        <f t="shared" ref="E37:G37" si="11">A25</f>
        <v>0</v>
      </c>
      <c r="F37" s="90">
        <f t="shared" si="11"/>
        <v>0</v>
      </c>
      <c r="G37" s="90">
        <f t="shared" si="11"/>
        <v>0</v>
      </c>
    </row>
    <row r="38" spans="1:7" ht="7.5" customHeight="1" thickBot="1" x14ac:dyDescent="0.35">
      <c r="A38" s="103"/>
    </row>
    <row r="39" spans="1:7" ht="11.25" customHeight="1" x14ac:dyDescent="0.3">
      <c r="A39" s="190">
        <f ca="1">TODAY()</f>
        <v>42822</v>
      </c>
      <c r="B39" s="192" t="s">
        <v>291</v>
      </c>
      <c r="C39" s="193"/>
      <c r="E39" s="190">
        <f ca="1">TODAY()</f>
        <v>42822</v>
      </c>
      <c r="F39" s="192" t="s">
        <v>291</v>
      </c>
      <c r="G39" s="193"/>
    </row>
    <row r="40" spans="1:7" x14ac:dyDescent="0.3">
      <c r="A40" s="190"/>
      <c r="B40" s="91" t="s">
        <v>26</v>
      </c>
      <c r="C40" s="84">
        <f t="shared" ref="C40:C47" si="12">C4</f>
        <v>0</v>
      </c>
      <c r="E40" s="190"/>
      <c r="F40" s="91" t="s">
        <v>26</v>
      </c>
      <c r="G40" s="84">
        <f t="shared" ref="G40:G47" si="13">C4</f>
        <v>0</v>
      </c>
    </row>
    <row r="41" spans="1:7" ht="15" thickBot="1" x14ac:dyDescent="0.35">
      <c r="A41" s="190"/>
      <c r="B41" s="92" t="s">
        <v>242</v>
      </c>
      <c r="C41" s="76">
        <f t="shared" si="12"/>
        <v>0</v>
      </c>
      <c r="E41" s="190"/>
      <c r="F41" s="92" t="s">
        <v>242</v>
      </c>
      <c r="G41" s="76">
        <f t="shared" si="13"/>
        <v>0</v>
      </c>
    </row>
    <row r="42" spans="1:7" ht="15" thickBot="1" x14ac:dyDescent="0.35">
      <c r="A42" s="190"/>
      <c r="B42" s="93" t="s">
        <v>292</v>
      </c>
      <c r="C42" s="87">
        <f t="shared" si="12"/>
        <v>0</v>
      </c>
      <c r="E42" s="190"/>
      <c r="F42" s="93" t="s">
        <v>292</v>
      </c>
      <c r="G42" s="87">
        <f t="shared" si="13"/>
        <v>0</v>
      </c>
    </row>
    <row r="43" spans="1:7" x14ac:dyDescent="0.3">
      <c r="A43" s="191" t="s">
        <v>307</v>
      </c>
      <c r="B43" s="94" t="s">
        <v>295</v>
      </c>
      <c r="C43" s="88">
        <f t="shared" si="12"/>
        <v>0</v>
      </c>
      <c r="E43" s="191" t="s">
        <v>307</v>
      </c>
      <c r="F43" s="94" t="s">
        <v>295</v>
      </c>
      <c r="G43" s="88">
        <f t="shared" si="13"/>
        <v>0</v>
      </c>
    </row>
    <row r="44" spans="1:7" x14ac:dyDescent="0.3">
      <c r="A44" s="191"/>
      <c r="B44" s="96" t="s">
        <v>296</v>
      </c>
      <c r="C44" s="97">
        <f t="shared" si="12"/>
        <v>0</v>
      </c>
      <c r="E44" s="191"/>
      <c r="F44" s="96" t="s">
        <v>296</v>
      </c>
      <c r="G44" s="97">
        <f t="shared" si="13"/>
        <v>0</v>
      </c>
    </row>
    <row r="45" spans="1:7" ht="15" thickBot="1" x14ac:dyDescent="0.35">
      <c r="A45" s="191"/>
      <c r="B45" s="95" t="s">
        <v>305</v>
      </c>
      <c r="C45" s="89">
        <f t="shared" si="12"/>
        <v>0</v>
      </c>
      <c r="E45" s="191"/>
      <c r="F45" s="95" t="s">
        <v>305</v>
      </c>
      <c r="G45" s="89">
        <f t="shared" si="13"/>
        <v>0</v>
      </c>
    </row>
    <row r="46" spans="1:7" ht="15" thickBot="1" x14ac:dyDescent="0.35">
      <c r="A46" s="191"/>
      <c r="B46" s="127" t="s">
        <v>507</v>
      </c>
      <c r="C46" s="107">
        <f t="shared" si="12"/>
        <v>0</v>
      </c>
      <c r="E46" s="191"/>
      <c r="F46" s="127" t="s">
        <v>507</v>
      </c>
      <c r="G46" s="106">
        <f t="shared" si="13"/>
        <v>0</v>
      </c>
    </row>
    <row r="47" spans="1:7" ht="16.2" thickBot="1" x14ac:dyDescent="0.35">
      <c r="A47" s="191"/>
      <c r="B47" s="86"/>
      <c r="C47" s="69" t="str">
        <f t="shared" si="12"/>
        <v>Saunders</v>
      </c>
      <c r="E47" s="191"/>
      <c r="F47" s="86"/>
      <c r="G47" s="69" t="str">
        <f t="shared" si="13"/>
        <v>Saunders</v>
      </c>
    </row>
    <row r="49" spans="1:7" ht="15.6" x14ac:dyDescent="0.3">
      <c r="A49" s="90">
        <f t="shared" ref="A49:C49" si="14">A25</f>
        <v>0</v>
      </c>
      <c r="B49" s="90">
        <f t="shared" si="14"/>
        <v>0</v>
      </c>
      <c r="C49" s="90">
        <f t="shared" si="14"/>
        <v>0</v>
      </c>
      <c r="E49" s="90">
        <f t="shared" ref="E49:G49" si="15">A25</f>
        <v>0</v>
      </c>
      <c r="F49" s="90">
        <f t="shared" si="15"/>
        <v>0</v>
      </c>
      <c r="G49" s="90">
        <f t="shared" si="15"/>
        <v>0</v>
      </c>
    </row>
    <row r="50" spans="1:7" ht="7.5" customHeight="1" thickBot="1" x14ac:dyDescent="0.35">
      <c r="A50" s="103"/>
    </row>
    <row r="51" spans="1:7" ht="11.25" customHeight="1" x14ac:dyDescent="0.3">
      <c r="A51" s="190">
        <f ca="1">TODAY()</f>
        <v>42822</v>
      </c>
      <c r="B51" s="192" t="s">
        <v>291</v>
      </c>
      <c r="C51" s="193"/>
      <c r="E51" s="190">
        <f ca="1">TODAY()</f>
        <v>42822</v>
      </c>
      <c r="F51" s="192" t="s">
        <v>291</v>
      </c>
      <c r="G51" s="193"/>
    </row>
    <row r="52" spans="1:7" x14ac:dyDescent="0.3">
      <c r="A52" s="190"/>
      <c r="B52" s="91" t="s">
        <v>26</v>
      </c>
      <c r="C52" s="84">
        <f t="shared" ref="C52:C59" si="16">C4</f>
        <v>0</v>
      </c>
      <c r="E52" s="190"/>
      <c r="F52" s="91" t="s">
        <v>26</v>
      </c>
      <c r="G52" s="84">
        <f t="shared" ref="G52:G59" si="17">C4</f>
        <v>0</v>
      </c>
    </row>
    <row r="53" spans="1:7" ht="15" thickBot="1" x14ac:dyDescent="0.35">
      <c r="A53" s="190"/>
      <c r="B53" s="92" t="s">
        <v>242</v>
      </c>
      <c r="C53" s="76">
        <f t="shared" si="16"/>
        <v>0</v>
      </c>
      <c r="E53" s="190"/>
      <c r="F53" s="92" t="s">
        <v>242</v>
      </c>
      <c r="G53" s="76">
        <f t="shared" si="17"/>
        <v>0</v>
      </c>
    </row>
    <row r="54" spans="1:7" ht="15" thickBot="1" x14ac:dyDescent="0.35">
      <c r="A54" s="190"/>
      <c r="B54" s="93" t="s">
        <v>292</v>
      </c>
      <c r="C54" s="87">
        <f t="shared" si="16"/>
        <v>0</v>
      </c>
      <c r="E54" s="190"/>
      <c r="F54" s="93" t="s">
        <v>292</v>
      </c>
      <c r="G54" s="87">
        <f t="shared" si="17"/>
        <v>0</v>
      </c>
    </row>
    <row r="55" spans="1:7" x14ac:dyDescent="0.3">
      <c r="A55" s="191" t="s">
        <v>307</v>
      </c>
      <c r="B55" s="94" t="s">
        <v>295</v>
      </c>
      <c r="C55" s="88">
        <f t="shared" si="16"/>
        <v>0</v>
      </c>
      <c r="E55" s="191" t="s">
        <v>307</v>
      </c>
      <c r="F55" s="94" t="s">
        <v>295</v>
      </c>
      <c r="G55" s="88">
        <f t="shared" si="17"/>
        <v>0</v>
      </c>
    </row>
    <row r="56" spans="1:7" x14ac:dyDescent="0.3">
      <c r="A56" s="191"/>
      <c r="B56" s="96" t="s">
        <v>296</v>
      </c>
      <c r="C56" s="97">
        <f t="shared" si="16"/>
        <v>0</v>
      </c>
      <c r="E56" s="191"/>
      <c r="F56" s="96" t="s">
        <v>296</v>
      </c>
      <c r="G56" s="97">
        <f t="shared" si="17"/>
        <v>0</v>
      </c>
    </row>
    <row r="57" spans="1:7" ht="15" thickBot="1" x14ac:dyDescent="0.35">
      <c r="A57" s="191"/>
      <c r="B57" s="95" t="s">
        <v>305</v>
      </c>
      <c r="C57" s="89">
        <f t="shared" si="16"/>
        <v>0</v>
      </c>
      <c r="E57" s="191"/>
      <c r="F57" s="95" t="s">
        <v>305</v>
      </c>
      <c r="G57" s="89">
        <f t="shared" si="17"/>
        <v>0</v>
      </c>
    </row>
    <row r="58" spans="1:7" ht="15" thickBot="1" x14ac:dyDescent="0.35">
      <c r="A58" s="191"/>
      <c r="B58" s="127" t="s">
        <v>507</v>
      </c>
      <c r="C58" s="107">
        <f t="shared" si="16"/>
        <v>0</v>
      </c>
      <c r="E58" s="191"/>
      <c r="F58" s="127" t="s">
        <v>507</v>
      </c>
      <c r="G58" s="106">
        <f t="shared" si="17"/>
        <v>0</v>
      </c>
    </row>
    <row r="59" spans="1:7" ht="16.2" thickBot="1" x14ac:dyDescent="0.35">
      <c r="A59" s="191"/>
      <c r="B59" s="86"/>
      <c r="C59" s="69" t="str">
        <f t="shared" si="16"/>
        <v>Saunders</v>
      </c>
      <c r="E59" s="191"/>
      <c r="F59" s="86"/>
      <c r="G59" s="69" t="str">
        <f t="shared" si="17"/>
        <v>Saunders</v>
      </c>
    </row>
  </sheetData>
  <mergeCells count="30">
    <mergeCell ref="E55:E59"/>
    <mergeCell ref="A51:A54"/>
    <mergeCell ref="A55:A59"/>
    <mergeCell ref="A39:A42"/>
    <mergeCell ref="A43:A47"/>
    <mergeCell ref="E39:E42"/>
    <mergeCell ref="E43:E47"/>
    <mergeCell ref="E51:E54"/>
    <mergeCell ref="B39:C39"/>
    <mergeCell ref="A19:A23"/>
    <mergeCell ref="E15:E18"/>
    <mergeCell ref="E19:E23"/>
    <mergeCell ref="A27:A30"/>
    <mergeCell ref="A31:A35"/>
    <mergeCell ref="E27:E30"/>
    <mergeCell ref="E31:E35"/>
    <mergeCell ref="A3:A6"/>
    <mergeCell ref="A7:A11"/>
    <mergeCell ref="E3:E6"/>
    <mergeCell ref="E7:E11"/>
    <mergeCell ref="A15:A18"/>
    <mergeCell ref="F39:G39"/>
    <mergeCell ref="B51:C51"/>
    <mergeCell ref="F51:G51"/>
    <mergeCell ref="B3:C3"/>
    <mergeCell ref="F3:G3"/>
    <mergeCell ref="B15:C15"/>
    <mergeCell ref="F15:G15"/>
    <mergeCell ref="B27:C27"/>
    <mergeCell ref="F27:G27"/>
  </mergeCells>
  <pageMargins left="0" right="0" top="0.35433070866141736" bottom="0" header="0" footer="0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3:E54"/>
  <sheetViews>
    <sheetView zoomScale="70" zoomScaleNormal="70" workbookViewId="0">
      <selection activeCell="B48" sqref="B48"/>
    </sheetView>
  </sheetViews>
  <sheetFormatPr defaultColWidth="9.109375" defaultRowHeight="21" x14ac:dyDescent="0.4"/>
  <cols>
    <col min="1" max="3" width="25.6640625" style="51" customWidth="1"/>
    <col min="4" max="5" width="29.5546875" style="51" bestFit="1" customWidth="1"/>
    <col min="6" max="16384" width="9.109375" style="51"/>
  </cols>
  <sheetData>
    <row r="3" spans="1:5" x14ac:dyDescent="0.4">
      <c r="A3" s="37"/>
      <c r="B3" s="38" t="s">
        <v>29</v>
      </c>
      <c r="C3" s="39" t="s">
        <v>249</v>
      </c>
      <c r="D3" s="40" t="s">
        <v>28</v>
      </c>
      <c r="E3" s="41"/>
    </row>
    <row r="4" spans="1:5" ht="5.0999999999999996" customHeight="1" x14ac:dyDescent="0.4">
      <c r="A4" s="42"/>
      <c r="B4" s="42"/>
      <c r="C4" s="42"/>
      <c r="D4" s="42"/>
      <c r="E4" s="41"/>
    </row>
    <row r="5" spans="1:5" x14ac:dyDescent="0.4">
      <c r="A5" s="39" t="s">
        <v>240</v>
      </c>
      <c r="B5" s="39">
        <f>COUNTIFS('Movements Sheet'!I6:I37,"Res 1",'Movements Sheet'!F6:F37,"Standard Risk")</f>
        <v>0</v>
      </c>
      <c r="C5" s="39">
        <f>COUNTIFS('Movements Sheet'!I6:I37,"Res 1",'Movements Sheet'!F6:F37,"High Can Share")</f>
        <v>0</v>
      </c>
      <c r="D5" s="39">
        <f>COUNTIFS('Movements Sheet'!I6:I37,"Res 1",'Movements Sheet'!F6:F37,"High Risk")</f>
        <v>1</v>
      </c>
      <c r="E5" s="43"/>
    </row>
    <row r="6" spans="1:5" x14ac:dyDescent="0.4">
      <c r="A6" s="44" t="s">
        <v>241</v>
      </c>
      <c r="B6" s="44">
        <f>COUNTIFS('Movements Sheet'!I6:I37,"Res 2",'Movements Sheet'!F6:F37,"Standard Risk")</f>
        <v>0</v>
      </c>
      <c r="C6" s="44">
        <f>COUNTIFS('Movements Sheet'!I6:I37,"Res 2",'Movements Sheet'!F6:F37,"High Can Share")</f>
        <v>0</v>
      </c>
      <c r="D6" s="44">
        <f>COUNTIFS('Movements Sheet'!I6:I37,"Res 2",'Movements Sheet'!F6:F37,"High Risk")</f>
        <v>0</v>
      </c>
      <c r="E6" s="45" t="s">
        <v>251</v>
      </c>
    </row>
    <row r="7" spans="1:5" ht="5.0999999999999996" customHeight="1" x14ac:dyDescent="0.4">
      <c r="A7" s="42"/>
      <c r="B7" s="42"/>
      <c r="C7" s="42"/>
      <c r="D7" s="42"/>
      <c r="E7" s="42"/>
    </row>
    <row r="8" spans="1:5" x14ac:dyDescent="0.4">
      <c r="A8" s="46" t="s">
        <v>250</v>
      </c>
      <c r="B8" s="46">
        <f>SUM(B5:B7)</f>
        <v>0</v>
      </c>
      <c r="C8" s="46">
        <f>SUM(C5:C7)</f>
        <v>0</v>
      </c>
      <c r="D8" s="46">
        <f>SUM(D5:D6)</f>
        <v>1</v>
      </c>
      <c r="E8" s="47">
        <f>SUM(B8:D8)</f>
        <v>1</v>
      </c>
    </row>
    <row r="11" spans="1:5" x14ac:dyDescent="0.4">
      <c r="B11" s="40" t="s">
        <v>259</v>
      </c>
      <c r="C11" s="39" t="s">
        <v>260</v>
      </c>
      <c r="D11" s="38" t="s">
        <v>261</v>
      </c>
    </row>
    <row r="12" spans="1:5" ht="5.0999999999999996" customHeight="1" x14ac:dyDescent="0.4">
      <c r="A12" s="42"/>
      <c r="B12" s="42"/>
      <c r="C12" s="42"/>
      <c r="D12" s="42"/>
    </row>
    <row r="13" spans="1:5" x14ac:dyDescent="0.4">
      <c r="A13" s="39" t="s">
        <v>240</v>
      </c>
      <c r="B13" s="39">
        <f>COUNTIFS('Movements Sheet'!I6:I37,"Res 1",'Movements Sheet'!O6:O37,"Yes")</f>
        <v>0</v>
      </c>
      <c r="C13" s="39">
        <f>COUNTIFS('Movements Sheet'!I6:I37,"Res 1",'Movements Sheet'!O6:O37,"Previous Acct")</f>
        <v>0</v>
      </c>
      <c r="D13" s="39">
        <f>COUNTIFS('Movements Sheet'!I6:I37,"Res 1",'Movements Sheet'!O6:O37,"No")</f>
        <v>1</v>
      </c>
    </row>
    <row r="14" spans="1:5" x14ac:dyDescent="0.4">
      <c r="A14" s="44" t="s">
        <v>241</v>
      </c>
      <c r="B14" s="44">
        <f>COUNTIFS('Movements Sheet'!I6:I37,"Res 2",'Movements Sheet'!O6:O37,"Yes")</f>
        <v>0</v>
      </c>
      <c r="C14" s="44">
        <f>COUNTIFS('Movements Sheet'!I6:I37,"Res 2",'Movements Sheet'!O6:O37,"Previous Acct")</f>
        <v>0</v>
      </c>
      <c r="D14" s="44">
        <f>COUNTIFS('Movements Sheet'!I6:I37,"Res 2",'Movements Sheet'!O6:O37,"No")</f>
        <v>0</v>
      </c>
      <c r="E14" s="52" t="s">
        <v>251</v>
      </c>
    </row>
    <row r="15" spans="1:5" ht="5.0999999999999996" customHeight="1" x14ac:dyDescent="0.4">
      <c r="A15" s="42"/>
      <c r="B15" s="42"/>
      <c r="C15" s="42"/>
      <c r="D15" s="42"/>
      <c r="E15" s="53"/>
    </row>
    <row r="16" spans="1:5" x14ac:dyDescent="0.4">
      <c r="A16" s="46" t="s">
        <v>250</v>
      </c>
      <c r="B16" s="46">
        <f>SUM(B13:B15)</f>
        <v>0</v>
      </c>
      <c r="C16" s="46">
        <f>SUM(C13:C15)</f>
        <v>0</v>
      </c>
      <c r="D16" s="46">
        <f>SUM(D13:D15)</f>
        <v>1</v>
      </c>
      <c r="E16" s="54">
        <f>SUM(B16:D16)</f>
        <v>1</v>
      </c>
    </row>
    <row r="17" spans="1:5" x14ac:dyDescent="0.4">
      <c r="A17" s="41"/>
      <c r="B17" s="41"/>
      <c r="C17" s="41"/>
      <c r="D17" s="41"/>
      <c r="E17" s="41"/>
    </row>
    <row r="19" spans="1:5" x14ac:dyDescent="0.4">
      <c r="B19" s="38" t="s">
        <v>257</v>
      </c>
      <c r="C19" s="40" t="s">
        <v>254</v>
      </c>
    </row>
    <row r="20" spans="1:5" ht="5.0999999999999996" customHeight="1" x14ac:dyDescent="0.4">
      <c r="A20" s="42"/>
      <c r="B20" s="42"/>
      <c r="C20" s="42"/>
    </row>
    <row r="21" spans="1:5" x14ac:dyDescent="0.4">
      <c r="A21" s="39" t="s">
        <v>240</v>
      </c>
      <c r="B21" s="39">
        <f>COUNTIFS('Movements Sheet'!I6:I37,"Res 1",'Movements Sheet'!G6:G37,"Yes")</f>
        <v>0</v>
      </c>
      <c r="C21" s="39">
        <f>COUNTIFS('Movements Sheet'!I6:I37,"Res 1",'Movements Sheet'!G6:G37,"No")</f>
        <v>0</v>
      </c>
    </row>
    <row r="22" spans="1:5" x14ac:dyDescent="0.4">
      <c r="A22" s="44" t="s">
        <v>241</v>
      </c>
      <c r="B22" s="44">
        <f>COUNTIFS('Movements Sheet'!I6:I37,"Res 2",'Movements Sheet'!G6:G37,"Yes")</f>
        <v>0</v>
      </c>
      <c r="C22" s="44">
        <f>COUNTIFS('Movements Sheet'!I6:I37,"Res 2",'Movements Sheet'!G6:G37,"No")</f>
        <v>0</v>
      </c>
      <c r="D22" s="45" t="s">
        <v>251</v>
      </c>
      <c r="E22" s="39" t="s">
        <v>263</v>
      </c>
    </row>
    <row r="23" spans="1:5" ht="5.0999999999999996" customHeight="1" x14ac:dyDescent="0.4">
      <c r="A23" s="42"/>
      <c r="B23" s="42"/>
      <c r="C23" s="42"/>
      <c r="D23" s="42"/>
      <c r="E23" s="42"/>
    </row>
    <row r="24" spans="1:5" x14ac:dyDescent="0.4">
      <c r="A24" s="46" t="s">
        <v>250</v>
      </c>
      <c r="B24" s="46">
        <f>SUM(B21:B23)</f>
        <v>0</v>
      </c>
      <c r="C24" s="46">
        <f>SUM(C21:C23)</f>
        <v>0</v>
      </c>
      <c r="D24" s="46">
        <f>SUM(B24:C24)</f>
        <v>0</v>
      </c>
      <c r="E24" s="55" t="e">
        <f>SUM(C24/D24)</f>
        <v>#DIV/0!</v>
      </c>
    </row>
    <row r="27" spans="1:5" x14ac:dyDescent="0.4">
      <c r="B27" s="38" t="s">
        <v>253</v>
      </c>
      <c r="C27" s="48" t="s">
        <v>252</v>
      </c>
    </row>
    <row r="28" spans="1:5" ht="5.0999999999999996" customHeight="1" x14ac:dyDescent="0.4">
      <c r="A28" s="42"/>
      <c r="B28" s="42"/>
      <c r="C28" s="42"/>
    </row>
    <row r="29" spans="1:5" x14ac:dyDescent="0.4">
      <c r="A29" s="39" t="s">
        <v>240</v>
      </c>
      <c r="B29" s="39">
        <f>COUNTIFS('Movements Sheet'!I6:I37,"Res 1",'Movements Sheet'!H6:H37,"No")</f>
        <v>1</v>
      </c>
      <c r="C29" s="39">
        <f>COUNTIFS('Movements Sheet'!I6:I37,"Res 1",'Movements Sheet'!H6:H37,"Yes")</f>
        <v>0</v>
      </c>
    </row>
    <row r="30" spans="1:5" x14ac:dyDescent="0.4">
      <c r="A30" s="44" t="s">
        <v>241</v>
      </c>
      <c r="B30" s="44">
        <f>COUNTIFS('Movements Sheet'!I6:I37,"Res 2",'Movements Sheet'!H6:H37,"No")</f>
        <v>0</v>
      </c>
      <c r="C30" s="44">
        <f>COUNTIFS('Movements Sheet'!I6:I37,"Res 2",'Movements Sheet'!H6:H37,"Yes")</f>
        <v>0</v>
      </c>
      <c r="D30" s="45" t="s">
        <v>251</v>
      </c>
    </row>
    <row r="31" spans="1:5" ht="5.0999999999999996" customHeight="1" x14ac:dyDescent="0.4">
      <c r="A31" s="42"/>
      <c r="B31" s="42"/>
      <c r="C31" s="42"/>
      <c r="D31" s="42"/>
    </row>
    <row r="32" spans="1:5" x14ac:dyDescent="0.4">
      <c r="A32" s="46" t="s">
        <v>250</v>
      </c>
      <c r="B32" s="46">
        <f>SUM(B29:B31)</f>
        <v>1</v>
      </c>
      <c r="C32" s="46">
        <f>SUM(C29:C31)</f>
        <v>0</v>
      </c>
      <c r="D32" s="46">
        <f>SUM(B32:C32)</f>
        <v>1</v>
      </c>
    </row>
    <row r="35" spans="1:4" x14ac:dyDescent="0.4">
      <c r="B35" s="49" t="s">
        <v>255</v>
      </c>
      <c r="C35" s="50" t="s">
        <v>63</v>
      </c>
    </row>
    <row r="36" spans="1:4" ht="5.0999999999999996" customHeight="1" x14ac:dyDescent="0.4">
      <c r="A36" s="42"/>
      <c r="B36" s="42"/>
      <c r="C36" s="42"/>
    </row>
    <row r="37" spans="1:4" x14ac:dyDescent="0.4">
      <c r="A37" s="39" t="s">
        <v>240</v>
      </c>
      <c r="B37" s="39">
        <f>COUNTIFS('Movements Sheet'!I6:I37,"Res 1",'Movements Sheet'!E6:E37,"AD")</f>
        <v>1</v>
      </c>
      <c r="C37" s="39">
        <f>COUNTIFS('Movements Sheet'!I6:I37,"Res 1",'Movements Sheet'!E6:E37,"YP")</f>
        <v>0</v>
      </c>
    </row>
    <row r="38" spans="1:4" x14ac:dyDescent="0.4">
      <c r="A38" s="44" t="s">
        <v>241</v>
      </c>
      <c r="B38" s="44">
        <f>COUNTIFS('Movements Sheet'!I6:I37,"Res 2",'Movements Sheet'!E6:E37,"AD")</f>
        <v>0</v>
      </c>
      <c r="C38" s="44" t="s">
        <v>256</v>
      </c>
      <c r="D38" s="45" t="s">
        <v>251</v>
      </c>
    </row>
    <row r="39" spans="1:4" ht="5.0999999999999996" customHeight="1" x14ac:dyDescent="0.4">
      <c r="A39" s="42"/>
      <c r="B39" s="42"/>
      <c r="C39" s="42"/>
      <c r="D39" s="42"/>
    </row>
    <row r="40" spans="1:4" x14ac:dyDescent="0.4">
      <c r="A40" s="46" t="s">
        <v>250</v>
      </c>
      <c r="B40" s="46">
        <f>SUM(B37:B39)</f>
        <v>1</v>
      </c>
      <c r="C40" s="46">
        <f>SUM(C37:C39)</f>
        <v>0</v>
      </c>
      <c r="D40" s="46">
        <f>SUM(B40:C40)</f>
        <v>1</v>
      </c>
    </row>
    <row r="43" spans="1:4" x14ac:dyDescent="0.4">
      <c r="B43" s="59" t="s">
        <v>254</v>
      </c>
    </row>
    <row r="44" spans="1:4" ht="5.0999999999999996" customHeight="1" x14ac:dyDescent="0.4">
      <c r="A44" s="42"/>
      <c r="B44" s="42"/>
    </row>
    <row r="45" spans="1:4" x14ac:dyDescent="0.4">
      <c r="A45" s="46" t="s">
        <v>278</v>
      </c>
      <c r="B45" s="46">
        <f>COUNTIFS('Movements Sheet'!G6:G37,"No",'Movements Sheet'!D6:D37,"Doncaster")</f>
        <v>0</v>
      </c>
    </row>
    <row r="46" spans="1:4" x14ac:dyDescent="0.4">
      <c r="A46" s="46" t="s">
        <v>287</v>
      </c>
      <c r="B46" s="46">
        <f>COUNTIFS('Movements Sheet'!G6:G37,"No",'Movements Sheet'!D6:D37,"Court")</f>
        <v>0</v>
      </c>
    </row>
    <row r="47" spans="1:4" x14ac:dyDescent="0.4">
      <c r="A47" s="46" t="s">
        <v>286</v>
      </c>
      <c r="B47" s="46">
        <f>COUNTIFS('Movements Sheet'!G6:G37,"No",'Movements Sheet'!D6:D37,"Deerbolt")</f>
        <v>0</v>
      </c>
    </row>
    <row r="48" spans="1:4" x14ac:dyDescent="0.4">
      <c r="A48" s="46" t="s">
        <v>280</v>
      </c>
      <c r="B48" s="46">
        <f>COUNTIFS('Movements Sheet'!G6:G37,"No",'Movements Sheet'!D6:D37,"Humber")</f>
        <v>0</v>
      </c>
    </row>
    <row r="49" spans="1:2" x14ac:dyDescent="0.4">
      <c r="A49" s="46" t="s">
        <v>281</v>
      </c>
      <c r="B49" s="46">
        <f>COUNTIFS('Movements Sheet'!G6:G37,"No",'Movements Sheet'!D6:D37,"Leeds")</f>
        <v>0</v>
      </c>
    </row>
    <row r="50" spans="1:2" x14ac:dyDescent="0.4">
      <c r="A50" s="46" t="s">
        <v>285</v>
      </c>
      <c r="B50" s="46">
        <f>COUNTIFS('Movements Sheet'!G6:G37,"No",'Movements Sheet'!D6:D37,"Leicester")</f>
        <v>0</v>
      </c>
    </row>
    <row r="51" spans="1:2" x14ac:dyDescent="0.4">
      <c r="A51" s="46" t="s">
        <v>284</v>
      </c>
      <c r="B51" s="46">
        <f>COUNTIFS('Movements Sheet'!G6:G37,"No",'Movements Sheet'!D6:D37,"Lincoln")</f>
        <v>0</v>
      </c>
    </row>
    <row r="52" spans="1:2" x14ac:dyDescent="0.4">
      <c r="A52" s="46" t="s">
        <v>279</v>
      </c>
      <c r="B52" s="46">
        <f>COUNTIFS('Movements Sheet'!G6:G37,"No",'Movements Sheet'!D6:D37,"Lindholme")</f>
        <v>0</v>
      </c>
    </row>
    <row r="53" spans="1:2" x14ac:dyDescent="0.4">
      <c r="A53" s="46" t="s">
        <v>283</v>
      </c>
      <c r="B53" s="46">
        <f>COUNTIFS('Movements Sheet'!G6:G37,"No",'Movements Sheet'!D6:D37,"Nottingham")</f>
        <v>0</v>
      </c>
    </row>
    <row r="54" spans="1:2" x14ac:dyDescent="0.4">
      <c r="A54" s="46" t="s">
        <v>288</v>
      </c>
      <c r="B54" s="46">
        <f>COUNTIFS('Movements Sheet'!G6:G37,"No",'Movements Sheet'!D6:D37,"Other")</f>
        <v>0</v>
      </c>
    </row>
  </sheetData>
  <pageMargins left="0.7" right="0.7" top="0.75" bottom="0.75" header="0.3" footer="0.3"/>
  <pageSetup paperSize="9" orientation="portrait" r:id="rId1"/>
  <ignoredErrors>
    <ignoredError sqref="E24" evalError="1"/>
  </ignoredErrors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workbookViewId="0">
      <selection sqref="A1:C11"/>
    </sheetView>
  </sheetViews>
  <sheetFormatPr defaultColWidth="9.109375" defaultRowHeight="14.4" x14ac:dyDescent="0.3"/>
  <cols>
    <col min="1" max="1" width="9.6640625" style="105" customWidth="1"/>
    <col min="2" max="2" width="13.6640625" style="103" bestFit="1" customWidth="1"/>
    <col min="3" max="3" width="21.88671875" style="103" bestFit="1" customWidth="1"/>
    <col min="4" max="4" width="8.88671875" style="103" customWidth="1"/>
    <col min="5" max="5" width="9.6640625" style="103" customWidth="1"/>
    <col min="6" max="6" width="13.6640625" style="103" bestFit="1" customWidth="1"/>
    <col min="7" max="7" width="21.88671875" style="103" bestFit="1" customWidth="1"/>
    <col min="8" max="16384" width="9.109375" style="103"/>
  </cols>
  <sheetData>
    <row r="1" spans="1:10" ht="15.75" customHeight="1" x14ac:dyDescent="0.3">
      <c r="A1" s="194"/>
      <c r="B1" s="194"/>
      <c r="C1" s="194"/>
      <c r="D1" s="130"/>
      <c r="E1" s="194"/>
      <c r="F1" s="194"/>
      <c r="G1" s="194"/>
    </row>
    <row r="2" spans="1:10" ht="7.5" customHeight="1" x14ac:dyDescent="0.3">
      <c r="A2" s="194"/>
      <c r="B2" s="194"/>
      <c r="C2" s="194"/>
      <c r="D2" s="130"/>
      <c r="E2" s="194"/>
      <c r="F2" s="194"/>
      <c r="G2" s="194"/>
    </row>
    <row r="3" spans="1:10" ht="11.25" customHeight="1" x14ac:dyDescent="0.3">
      <c r="A3" s="194"/>
      <c r="B3" s="194"/>
      <c r="C3" s="194"/>
      <c r="D3" s="130"/>
      <c r="E3" s="194"/>
      <c r="F3" s="194"/>
      <c r="G3" s="194"/>
    </row>
    <row r="4" spans="1:10" x14ac:dyDescent="0.3">
      <c r="A4" s="194"/>
      <c r="B4" s="194"/>
      <c r="C4" s="194"/>
      <c r="D4" s="130"/>
      <c r="E4" s="194"/>
      <c r="F4" s="194"/>
      <c r="G4" s="194"/>
    </row>
    <row r="5" spans="1:10" x14ac:dyDescent="0.3">
      <c r="A5" s="194"/>
      <c r="B5" s="194"/>
      <c r="C5" s="194"/>
      <c r="D5" s="130"/>
      <c r="E5" s="194"/>
      <c r="F5" s="194"/>
      <c r="G5" s="194"/>
      <c r="H5" s="129"/>
      <c r="I5" s="129"/>
    </row>
    <row r="6" spans="1:10" x14ac:dyDescent="0.3">
      <c r="A6" s="194"/>
      <c r="B6" s="194"/>
      <c r="C6" s="194"/>
      <c r="D6" s="130"/>
      <c r="E6" s="194"/>
      <c r="F6" s="194"/>
      <c r="G6" s="194"/>
      <c r="H6" s="79"/>
      <c r="I6" s="79"/>
    </row>
    <row r="7" spans="1:10" ht="15" customHeight="1" x14ac:dyDescent="0.3">
      <c r="A7" s="194"/>
      <c r="B7" s="194"/>
      <c r="C7" s="194"/>
      <c r="D7" s="130"/>
      <c r="E7" s="194"/>
      <c r="F7" s="194"/>
      <c r="G7" s="194"/>
      <c r="H7" s="129"/>
      <c r="I7" s="129"/>
      <c r="J7" s="104"/>
    </row>
    <row r="8" spans="1:10" x14ac:dyDescent="0.3">
      <c r="A8" s="194"/>
      <c r="B8" s="194"/>
      <c r="C8" s="194"/>
      <c r="D8" s="130"/>
      <c r="E8" s="194"/>
      <c r="F8" s="194"/>
      <c r="G8" s="194"/>
      <c r="H8" s="129"/>
      <c r="I8" s="129"/>
      <c r="J8" s="104"/>
    </row>
    <row r="9" spans="1:10" x14ac:dyDescent="0.3">
      <c r="A9" s="194"/>
      <c r="B9" s="194"/>
      <c r="C9" s="194"/>
      <c r="D9" s="130"/>
      <c r="E9" s="194"/>
      <c r="F9" s="194"/>
      <c r="G9" s="194"/>
      <c r="H9" s="129"/>
      <c r="I9" s="129"/>
      <c r="J9" s="104"/>
    </row>
    <row r="10" spans="1:10" ht="15.75" customHeight="1" x14ac:dyDescent="0.3">
      <c r="A10" s="194"/>
      <c r="B10" s="194"/>
      <c r="C10" s="194"/>
      <c r="D10" s="130"/>
      <c r="E10" s="194"/>
      <c r="F10" s="194"/>
      <c r="G10" s="194"/>
      <c r="H10" s="104"/>
      <c r="I10" s="104"/>
      <c r="J10" s="104"/>
    </row>
    <row r="11" spans="1:10" x14ac:dyDescent="0.3">
      <c r="A11" s="194"/>
      <c r="B11" s="194"/>
      <c r="C11" s="194"/>
      <c r="D11" s="130"/>
      <c r="E11" s="194"/>
      <c r="F11" s="194"/>
      <c r="G11" s="194"/>
      <c r="H11" s="104"/>
      <c r="I11" s="104"/>
      <c r="J11" s="104"/>
    </row>
    <row r="12" spans="1:10" x14ac:dyDescent="0.3">
      <c r="A12" s="131"/>
      <c r="B12" s="130"/>
      <c r="C12" s="130"/>
      <c r="D12" s="130"/>
      <c r="E12" s="130"/>
      <c r="F12" s="130"/>
      <c r="G12" s="130"/>
    </row>
    <row r="13" spans="1:10" ht="15.75" customHeight="1" x14ac:dyDescent="0.3">
      <c r="A13" s="194"/>
      <c r="B13" s="194"/>
      <c r="C13" s="194"/>
      <c r="D13" s="130"/>
      <c r="E13" s="194"/>
      <c r="F13" s="194"/>
      <c r="G13" s="194"/>
    </row>
    <row r="14" spans="1:10" ht="7.5" customHeight="1" x14ac:dyDescent="0.3">
      <c r="A14" s="194"/>
      <c r="B14" s="194"/>
      <c r="C14" s="194"/>
      <c r="D14" s="130"/>
      <c r="E14" s="194"/>
      <c r="F14" s="194"/>
      <c r="G14" s="194"/>
    </row>
    <row r="15" spans="1:10" ht="11.25" customHeight="1" x14ac:dyDescent="0.3">
      <c r="A15" s="194"/>
      <c r="B15" s="194"/>
      <c r="C15" s="194"/>
      <c r="D15" s="130"/>
      <c r="E15" s="194"/>
      <c r="F15" s="194"/>
      <c r="G15" s="194"/>
    </row>
    <row r="16" spans="1:10" x14ac:dyDescent="0.3">
      <c r="A16" s="194"/>
      <c r="B16" s="194"/>
      <c r="C16" s="194"/>
      <c r="D16" s="130"/>
      <c r="E16" s="194"/>
      <c r="F16" s="194"/>
      <c r="G16" s="194"/>
    </row>
    <row r="17" spans="1:7" x14ac:dyDescent="0.3">
      <c r="A17" s="194"/>
      <c r="B17" s="194"/>
      <c r="C17" s="194"/>
      <c r="D17" s="130"/>
      <c r="E17" s="194"/>
      <c r="F17" s="194"/>
      <c r="G17" s="194"/>
    </row>
    <row r="18" spans="1:7" x14ac:dyDescent="0.3">
      <c r="A18" s="194"/>
      <c r="B18" s="194"/>
      <c r="C18" s="194"/>
      <c r="D18" s="130"/>
      <c r="E18" s="194"/>
      <c r="F18" s="194"/>
      <c r="G18" s="194"/>
    </row>
    <row r="19" spans="1:7" ht="15" customHeight="1" x14ac:dyDescent="0.3">
      <c r="A19" s="194"/>
      <c r="B19" s="194"/>
      <c r="C19" s="194"/>
      <c r="D19" s="130"/>
      <c r="E19" s="194"/>
      <c r="F19" s="194"/>
      <c r="G19" s="194"/>
    </row>
    <row r="20" spans="1:7" x14ac:dyDescent="0.3">
      <c r="A20" s="194"/>
      <c r="B20" s="194"/>
      <c r="C20" s="194"/>
      <c r="D20" s="130"/>
      <c r="E20" s="194"/>
      <c r="F20" s="194"/>
      <c r="G20" s="194"/>
    </row>
    <row r="21" spans="1:7" x14ac:dyDescent="0.3">
      <c r="A21" s="194"/>
      <c r="B21" s="194"/>
      <c r="C21" s="194"/>
      <c r="D21" s="130"/>
      <c r="E21" s="194"/>
      <c r="F21" s="194"/>
      <c r="G21" s="194"/>
    </row>
    <row r="22" spans="1:7" x14ac:dyDescent="0.3">
      <c r="A22" s="194"/>
      <c r="B22" s="194"/>
      <c r="C22" s="194"/>
      <c r="D22" s="130"/>
      <c r="E22" s="194"/>
      <c r="F22" s="194"/>
      <c r="G22" s="194"/>
    </row>
    <row r="23" spans="1:7" x14ac:dyDescent="0.3">
      <c r="A23" s="194"/>
      <c r="B23" s="194"/>
      <c r="C23" s="194"/>
      <c r="D23" s="130"/>
      <c r="E23" s="194"/>
      <c r="F23" s="194"/>
      <c r="G23" s="194"/>
    </row>
    <row r="24" spans="1:7" x14ac:dyDescent="0.3">
      <c r="A24" s="131"/>
      <c r="B24" s="130"/>
      <c r="C24" s="130"/>
      <c r="D24" s="130"/>
      <c r="E24" s="130"/>
      <c r="F24" s="130"/>
      <c r="G24" s="130"/>
    </row>
    <row r="25" spans="1:7" ht="15.75" customHeight="1" x14ac:dyDescent="0.3">
      <c r="A25" s="194"/>
      <c r="B25" s="194"/>
      <c r="C25" s="194"/>
      <c r="D25" s="130"/>
      <c r="E25" s="194"/>
      <c r="F25" s="194"/>
      <c r="G25" s="194"/>
    </row>
    <row r="26" spans="1:7" ht="7.5" customHeight="1" x14ac:dyDescent="0.3">
      <c r="A26" s="194"/>
      <c r="B26" s="194"/>
      <c r="C26" s="194"/>
      <c r="D26" s="130"/>
      <c r="E26" s="194"/>
      <c r="F26" s="194"/>
      <c r="G26" s="194"/>
    </row>
    <row r="27" spans="1:7" ht="11.25" customHeight="1" x14ac:dyDescent="0.3">
      <c r="A27" s="194"/>
      <c r="B27" s="194"/>
      <c r="C27" s="194"/>
      <c r="D27" s="130"/>
      <c r="E27" s="194"/>
      <c r="F27" s="194"/>
      <c r="G27" s="194"/>
    </row>
    <row r="28" spans="1:7" x14ac:dyDescent="0.3">
      <c r="A28" s="194"/>
      <c r="B28" s="194"/>
      <c r="C28" s="194"/>
      <c r="D28" s="130"/>
      <c r="E28" s="194"/>
      <c r="F28" s="194"/>
      <c r="G28" s="194"/>
    </row>
    <row r="29" spans="1:7" x14ac:dyDescent="0.3">
      <c r="A29" s="194"/>
      <c r="B29" s="194"/>
      <c r="C29" s="194"/>
      <c r="D29" s="130"/>
      <c r="E29" s="194"/>
      <c r="F29" s="194"/>
      <c r="G29" s="194"/>
    </row>
    <row r="30" spans="1:7" x14ac:dyDescent="0.3">
      <c r="A30" s="194"/>
      <c r="B30" s="194"/>
      <c r="C30" s="194"/>
      <c r="D30" s="130"/>
      <c r="E30" s="194"/>
      <c r="F30" s="194"/>
      <c r="G30" s="194"/>
    </row>
    <row r="31" spans="1:7" ht="15" customHeight="1" x14ac:dyDescent="0.3">
      <c r="A31" s="194"/>
      <c r="B31" s="194"/>
      <c r="C31" s="194"/>
      <c r="D31" s="130"/>
      <c r="E31" s="194"/>
      <c r="F31" s="194"/>
      <c r="G31" s="194"/>
    </row>
    <row r="32" spans="1:7" x14ac:dyDescent="0.3">
      <c r="A32" s="194"/>
      <c r="B32" s="194"/>
      <c r="C32" s="194"/>
      <c r="D32" s="130"/>
      <c r="E32" s="194"/>
      <c r="F32" s="194"/>
      <c r="G32" s="194"/>
    </row>
    <row r="33" spans="1:7" ht="15" customHeight="1" x14ac:dyDescent="0.3">
      <c r="A33" s="194"/>
      <c r="B33" s="194"/>
      <c r="C33" s="194"/>
      <c r="D33" s="130"/>
      <c r="E33" s="194"/>
      <c r="F33" s="194"/>
      <c r="G33" s="194"/>
    </row>
    <row r="34" spans="1:7" x14ac:dyDescent="0.3">
      <c r="A34" s="194"/>
      <c r="B34" s="194"/>
      <c r="C34" s="194"/>
      <c r="D34" s="130"/>
      <c r="E34" s="194"/>
      <c r="F34" s="194"/>
      <c r="G34" s="194"/>
    </row>
    <row r="35" spans="1:7" x14ac:dyDescent="0.3">
      <c r="A35" s="194"/>
      <c r="B35" s="194"/>
      <c r="C35" s="194"/>
      <c r="D35" s="130"/>
      <c r="E35" s="194"/>
      <c r="F35" s="194"/>
      <c r="G35" s="194"/>
    </row>
    <row r="36" spans="1:7" x14ac:dyDescent="0.3">
      <c r="A36" s="131"/>
      <c r="B36" s="130"/>
      <c r="C36" s="130"/>
      <c r="D36" s="130"/>
      <c r="E36" s="130"/>
      <c r="F36" s="130"/>
      <c r="G36" s="130"/>
    </row>
    <row r="37" spans="1:7" ht="15.75" customHeight="1" x14ac:dyDescent="0.3">
      <c r="A37" s="194"/>
      <c r="B37" s="194"/>
      <c r="C37" s="194"/>
      <c r="D37" s="130"/>
      <c r="E37" s="194"/>
      <c r="F37" s="194"/>
      <c r="G37" s="194"/>
    </row>
    <row r="38" spans="1:7" ht="7.5" customHeight="1" x14ac:dyDescent="0.3">
      <c r="A38" s="194"/>
      <c r="B38" s="194"/>
      <c r="C38" s="194"/>
      <c r="D38" s="130"/>
      <c r="E38" s="194"/>
      <c r="F38" s="194"/>
      <c r="G38" s="194"/>
    </row>
    <row r="39" spans="1:7" ht="11.25" customHeight="1" x14ac:dyDescent="0.3">
      <c r="A39" s="194"/>
      <c r="B39" s="194"/>
      <c r="C39" s="194"/>
      <c r="D39" s="130"/>
      <c r="E39" s="194"/>
      <c r="F39" s="194"/>
      <c r="G39" s="194"/>
    </row>
    <row r="40" spans="1:7" x14ac:dyDescent="0.3">
      <c r="A40" s="194"/>
      <c r="B40" s="194"/>
      <c r="C40" s="194"/>
      <c r="D40" s="130"/>
      <c r="E40" s="194"/>
      <c r="F40" s="194"/>
      <c r="G40" s="194"/>
    </row>
    <row r="41" spans="1:7" x14ac:dyDescent="0.3">
      <c r="A41" s="194"/>
      <c r="B41" s="194"/>
      <c r="C41" s="194"/>
      <c r="D41" s="130"/>
      <c r="E41" s="194"/>
      <c r="F41" s="194"/>
      <c r="G41" s="194"/>
    </row>
    <row r="42" spans="1:7" x14ac:dyDescent="0.3">
      <c r="A42" s="194"/>
      <c r="B42" s="194"/>
      <c r="C42" s="194"/>
      <c r="D42" s="130"/>
      <c r="E42" s="194"/>
      <c r="F42" s="194"/>
      <c r="G42" s="194"/>
    </row>
    <row r="43" spans="1:7" ht="15" customHeight="1" x14ac:dyDescent="0.3">
      <c r="A43" s="194"/>
      <c r="B43" s="194"/>
      <c r="C43" s="194"/>
      <c r="D43" s="130"/>
      <c r="E43" s="194"/>
      <c r="F43" s="194"/>
      <c r="G43" s="194"/>
    </row>
    <row r="44" spans="1:7" x14ac:dyDescent="0.3">
      <c r="A44" s="194"/>
      <c r="B44" s="194"/>
      <c r="C44" s="194"/>
      <c r="D44" s="130"/>
      <c r="E44" s="194"/>
      <c r="F44" s="194"/>
      <c r="G44" s="194"/>
    </row>
    <row r="45" spans="1:7" x14ac:dyDescent="0.3">
      <c r="A45" s="194"/>
      <c r="B45" s="194"/>
      <c r="C45" s="194"/>
      <c r="D45" s="130"/>
      <c r="E45" s="194"/>
      <c r="F45" s="194"/>
      <c r="G45" s="194"/>
    </row>
    <row r="46" spans="1:7" x14ac:dyDescent="0.3">
      <c r="A46" s="194"/>
      <c r="B46" s="194"/>
      <c r="C46" s="194"/>
      <c r="D46" s="130"/>
      <c r="E46" s="194"/>
      <c r="F46" s="194"/>
      <c r="G46" s="194"/>
    </row>
    <row r="47" spans="1:7" x14ac:dyDescent="0.3">
      <c r="A47" s="194"/>
      <c r="B47" s="194"/>
      <c r="C47" s="194"/>
      <c r="D47" s="130"/>
      <c r="E47" s="194"/>
      <c r="F47" s="194"/>
      <c r="G47" s="194"/>
    </row>
    <row r="48" spans="1:7" x14ac:dyDescent="0.3">
      <c r="A48" s="132"/>
      <c r="B48" s="130"/>
      <c r="C48" s="130"/>
      <c r="D48" s="130"/>
      <c r="E48" s="130"/>
      <c r="F48" s="130"/>
      <c r="G48" s="130"/>
    </row>
    <row r="49" spans="1:7" ht="15.75" customHeight="1" x14ac:dyDescent="0.3">
      <c r="A49" s="194"/>
      <c r="B49" s="194"/>
      <c r="C49" s="194"/>
      <c r="D49" s="130"/>
      <c r="E49" s="194"/>
      <c r="F49" s="194"/>
      <c r="G49" s="194"/>
    </row>
    <row r="50" spans="1:7" ht="7.5" customHeight="1" x14ac:dyDescent="0.3">
      <c r="A50" s="194"/>
      <c r="B50" s="194"/>
      <c r="C50" s="194"/>
      <c r="D50" s="130"/>
      <c r="E50" s="194"/>
      <c r="F50" s="194"/>
      <c r="G50" s="194"/>
    </row>
    <row r="51" spans="1:7" ht="11.25" customHeight="1" x14ac:dyDescent="0.3">
      <c r="A51" s="194"/>
      <c r="B51" s="194"/>
      <c r="C51" s="194"/>
      <c r="D51" s="130"/>
      <c r="E51" s="194"/>
      <c r="F51" s="194"/>
      <c r="G51" s="194"/>
    </row>
    <row r="52" spans="1:7" x14ac:dyDescent="0.3">
      <c r="A52" s="194"/>
      <c r="B52" s="194"/>
      <c r="C52" s="194"/>
      <c r="D52" s="130"/>
      <c r="E52" s="194"/>
      <c r="F52" s="194"/>
      <c r="G52" s="194"/>
    </row>
    <row r="53" spans="1:7" x14ac:dyDescent="0.3">
      <c r="A53" s="194"/>
      <c r="B53" s="194"/>
      <c r="C53" s="194"/>
      <c r="D53" s="130"/>
      <c r="E53" s="194"/>
      <c r="F53" s="194"/>
      <c r="G53" s="194"/>
    </row>
    <row r="54" spans="1:7" x14ac:dyDescent="0.3">
      <c r="A54" s="194"/>
      <c r="B54" s="194"/>
      <c r="C54" s="194"/>
      <c r="D54" s="130"/>
      <c r="E54" s="194"/>
      <c r="F54" s="194"/>
      <c r="G54" s="194"/>
    </row>
    <row r="55" spans="1:7" ht="15" customHeight="1" x14ac:dyDescent="0.3">
      <c r="A55" s="194"/>
      <c r="B55" s="194"/>
      <c r="C55" s="194"/>
      <c r="D55" s="130"/>
      <c r="E55" s="194"/>
      <c r="F55" s="194"/>
      <c r="G55" s="194"/>
    </row>
    <row r="56" spans="1:7" x14ac:dyDescent="0.3">
      <c r="A56" s="194"/>
      <c r="B56" s="194"/>
      <c r="C56" s="194"/>
      <c r="D56" s="130"/>
      <c r="E56" s="194"/>
      <c r="F56" s="194"/>
      <c r="G56" s="194"/>
    </row>
    <row r="57" spans="1:7" x14ac:dyDescent="0.3">
      <c r="A57" s="194"/>
      <c r="B57" s="194"/>
      <c r="C57" s="194"/>
      <c r="D57" s="130"/>
      <c r="E57" s="194"/>
      <c r="F57" s="194"/>
      <c r="G57" s="194"/>
    </row>
    <row r="58" spans="1:7" x14ac:dyDescent="0.3">
      <c r="A58" s="194"/>
      <c r="B58" s="194"/>
      <c r="C58" s="194"/>
      <c r="D58" s="130"/>
      <c r="E58" s="194"/>
      <c r="F58" s="194"/>
      <c r="G58" s="194"/>
    </row>
    <row r="59" spans="1:7" x14ac:dyDescent="0.3">
      <c r="A59" s="194"/>
      <c r="B59" s="194"/>
      <c r="C59" s="194"/>
      <c r="D59" s="130"/>
      <c r="E59" s="194"/>
      <c r="F59" s="194"/>
      <c r="G59" s="194"/>
    </row>
  </sheetData>
  <mergeCells count="10">
    <mergeCell ref="E13:G23"/>
    <mergeCell ref="A13:C23"/>
    <mergeCell ref="A1:C11"/>
    <mergeCell ref="E1:G11"/>
    <mergeCell ref="A49:C59"/>
    <mergeCell ref="E49:G59"/>
    <mergeCell ref="A37:C47"/>
    <mergeCell ref="E37:G47"/>
    <mergeCell ref="A25:C35"/>
    <mergeCell ref="E25:G35"/>
  </mergeCells>
  <pageMargins left="0" right="0" top="0.35433070866141736" bottom="0" header="0" footer="0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02"/>
  <sheetViews>
    <sheetView topLeftCell="B1" workbookViewId="0">
      <selection activeCell="Q3" sqref="Q3"/>
    </sheetView>
  </sheetViews>
  <sheetFormatPr defaultColWidth="9.109375" defaultRowHeight="13.8" x14ac:dyDescent="0.25"/>
  <cols>
    <col min="1" max="1" width="21.6640625" style="9" bestFit="1" customWidth="1"/>
    <col min="2" max="2" width="14.5546875" style="7" bestFit="1" customWidth="1"/>
    <col min="3" max="3" width="26.109375" style="9" bestFit="1" customWidth="1"/>
    <col min="4" max="4" width="9.109375" style="7"/>
    <col min="5" max="5" width="21.88671875" style="7" customWidth="1"/>
    <col min="6" max="6" width="9.109375" style="9"/>
    <col min="7" max="7" width="20.5546875" style="7" customWidth="1"/>
    <col min="8" max="8" width="23.6640625" style="7" bestFit="1" customWidth="1"/>
    <col min="9" max="10" width="9.109375" style="7"/>
    <col min="11" max="11" width="9.88671875" style="7" bestFit="1" customWidth="1"/>
    <col min="12" max="16" width="9.109375" style="7"/>
    <col min="17" max="17" width="15.88671875" style="7" customWidth="1"/>
    <col min="18" max="16384" width="9.109375" style="7"/>
  </cols>
  <sheetData>
    <row r="1" spans="1:17" x14ac:dyDescent="0.25">
      <c r="A1" s="9" t="s">
        <v>89</v>
      </c>
      <c r="B1" s="8" t="s">
        <v>28</v>
      </c>
      <c r="C1" s="9" t="s">
        <v>25</v>
      </c>
      <c r="D1" s="7">
        <v>1</v>
      </c>
      <c r="E1" s="7" t="s">
        <v>31</v>
      </c>
      <c r="F1" s="9" t="s">
        <v>33</v>
      </c>
      <c r="G1" s="7" t="s">
        <v>51</v>
      </c>
      <c r="H1" s="7" t="s">
        <v>56</v>
      </c>
      <c r="I1" s="7" t="s">
        <v>64</v>
      </c>
      <c r="J1" s="7">
        <v>1</v>
      </c>
      <c r="K1" s="7" t="s">
        <v>31</v>
      </c>
      <c r="M1" s="7" t="s">
        <v>278</v>
      </c>
      <c r="O1" s="7" t="s">
        <v>306</v>
      </c>
      <c r="Q1" s="7" t="s">
        <v>309</v>
      </c>
    </row>
    <row r="2" spans="1:17" x14ac:dyDescent="0.25">
      <c r="A2" s="9" t="s">
        <v>73</v>
      </c>
      <c r="B2" s="10" t="s">
        <v>27</v>
      </c>
      <c r="C2" s="9" t="s">
        <v>73</v>
      </c>
      <c r="D2" s="7">
        <v>2</v>
      </c>
      <c r="E2" s="7" t="s">
        <v>32</v>
      </c>
      <c r="F2" s="9" t="s">
        <v>34</v>
      </c>
      <c r="G2" s="7" t="s">
        <v>52</v>
      </c>
      <c r="H2" s="7" t="s">
        <v>57</v>
      </c>
      <c r="I2" s="7" t="s">
        <v>63</v>
      </c>
      <c r="J2" s="7">
        <v>2</v>
      </c>
      <c r="K2" s="7" t="s">
        <v>262</v>
      </c>
      <c r="M2" s="7" t="s">
        <v>287</v>
      </c>
      <c r="O2" s="7" t="s">
        <v>298</v>
      </c>
      <c r="Q2" s="7" t="s">
        <v>310</v>
      </c>
    </row>
    <row r="3" spans="1:17" x14ac:dyDescent="0.25">
      <c r="A3" s="9" t="s">
        <v>1</v>
      </c>
      <c r="B3" s="11" t="s">
        <v>29</v>
      </c>
      <c r="C3" s="9" t="s">
        <v>1</v>
      </c>
      <c r="D3" s="7">
        <v>3</v>
      </c>
      <c r="F3" s="9" t="s">
        <v>35</v>
      </c>
      <c r="G3" s="7" t="s">
        <v>53</v>
      </c>
      <c r="H3" s="7" t="s">
        <v>58</v>
      </c>
      <c r="J3" s="7">
        <v>3</v>
      </c>
      <c r="K3" s="7" t="s">
        <v>32</v>
      </c>
      <c r="M3" s="7" t="s">
        <v>286</v>
      </c>
      <c r="O3" s="7" t="s">
        <v>299</v>
      </c>
      <c r="Q3" s="7" t="s">
        <v>508</v>
      </c>
    </row>
    <row r="4" spans="1:17" x14ac:dyDescent="0.25">
      <c r="A4" s="9" t="s">
        <v>2</v>
      </c>
      <c r="C4" s="9" t="s">
        <v>2</v>
      </c>
      <c r="D4" s="7">
        <v>14</v>
      </c>
      <c r="F4" s="9" t="s">
        <v>36</v>
      </c>
      <c r="G4" s="7" t="s">
        <v>54</v>
      </c>
      <c r="H4" s="7" t="s">
        <v>59</v>
      </c>
      <c r="J4" s="7">
        <v>4</v>
      </c>
      <c r="M4" s="7" t="s">
        <v>280</v>
      </c>
      <c r="O4" s="7" t="s">
        <v>300</v>
      </c>
      <c r="Q4" s="7" t="s">
        <v>320</v>
      </c>
    </row>
    <row r="5" spans="1:17" x14ac:dyDescent="0.25">
      <c r="A5" s="9" t="s">
        <v>3</v>
      </c>
      <c r="C5" s="9" t="s">
        <v>3</v>
      </c>
      <c r="D5" s="7">
        <v>28</v>
      </c>
      <c r="F5" s="9" t="s">
        <v>37</v>
      </c>
      <c r="G5" s="7" t="s">
        <v>246</v>
      </c>
      <c r="H5" s="7" t="s">
        <v>60</v>
      </c>
      <c r="J5" s="7">
        <v>5</v>
      </c>
      <c r="M5" s="7" t="s">
        <v>281</v>
      </c>
      <c r="O5" s="7" t="s">
        <v>301</v>
      </c>
      <c r="Q5" s="7" t="s">
        <v>321</v>
      </c>
    </row>
    <row r="6" spans="1:17" ht="21" x14ac:dyDescent="0.4">
      <c r="A6" s="9" t="s">
        <v>4</v>
      </c>
      <c r="B6" s="12"/>
      <c r="C6" s="13" t="s">
        <v>4</v>
      </c>
      <c r="D6" s="12"/>
      <c r="E6" s="2"/>
      <c r="F6" s="13" t="s">
        <v>38</v>
      </c>
      <c r="G6" s="2" t="s">
        <v>247</v>
      </c>
      <c r="H6" s="12" t="s">
        <v>61</v>
      </c>
      <c r="I6" s="12"/>
      <c r="J6" s="7">
        <v>6</v>
      </c>
      <c r="M6" s="7" t="s">
        <v>285</v>
      </c>
      <c r="O6" s="7" t="s">
        <v>302</v>
      </c>
      <c r="Q6" s="7" t="s">
        <v>322</v>
      </c>
    </row>
    <row r="7" spans="1:17" ht="21" x14ac:dyDescent="0.4">
      <c r="A7" s="9" t="s">
        <v>5</v>
      </c>
      <c r="B7" s="12"/>
      <c r="C7" s="13" t="s">
        <v>5</v>
      </c>
      <c r="D7" s="12"/>
      <c r="E7" s="2"/>
      <c r="F7" s="14" t="s">
        <v>39</v>
      </c>
      <c r="G7" s="2" t="s">
        <v>66</v>
      </c>
      <c r="H7" s="12" t="s">
        <v>62</v>
      </c>
      <c r="I7" s="12"/>
      <c r="J7" s="7">
        <v>7</v>
      </c>
      <c r="M7" s="7" t="s">
        <v>284</v>
      </c>
      <c r="O7" s="7" t="s">
        <v>303</v>
      </c>
      <c r="Q7" s="7" t="s">
        <v>323</v>
      </c>
    </row>
    <row r="8" spans="1:17" ht="21" x14ac:dyDescent="0.4">
      <c r="A8" s="9" t="s">
        <v>6</v>
      </c>
      <c r="B8" s="12"/>
      <c r="C8" s="13" t="s">
        <v>6</v>
      </c>
      <c r="D8" s="12"/>
      <c r="E8" s="2"/>
      <c r="F8" s="14" t="s">
        <v>40</v>
      </c>
      <c r="G8" s="2" t="s">
        <v>67</v>
      </c>
      <c r="H8" s="12" t="s">
        <v>65</v>
      </c>
      <c r="I8" s="12"/>
      <c r="J8" s="7">
        <v>8</v>
      </c>
      <c r="M8" s="7" t="s">
        <v>279</v>
      </c>
      <c r="O8" s="7" t="s">
        <v>304</v>
      </c>
      <c r="Q8" s="7" t="s">
        <v>324</v>
      </c>
    </row>
    <row r="9" spans="1:17" ht="21" x14ac:dyDescent="0.4">
      <c r="A9" s="9" t="s">
        <v>7</v>
      </c>
      <c r="B9" s="12"/>
      <c r="C9" s="13" t="s">
        <v>7</v>
      </c>
      <c r="D9" s="12"/>
      <c r="E9" s="2"/>
      <c r="F9" s="14" t="s">
        <v>41</v>
      </c>
      <c r="G9" s="2" t="s">
        <v>55</v>
      </c>
      <c r="H9" s="12"/>
      <c r="I9" s="12"/>
      <c r="J9" s="7">
        <v>9</v>
      </c>
      <c r="M9" s="7" t="s">
        <v>283</v>
      </c>
      <c r="O9" s="7" t="s">
        <v>306</v>
      </c>
      <c r="Q9" s="7" t="s">
        <v>325</v>
      </c>
    </row>
    <row r="10" spans="1:17" x14ac:dyDescent="0.25">
      <c r="A10" s="9" t="s">
        <v>8</v>
      </c>
      <c r="B10" s="12"/>
      <c r="C10" s="13" t="s">
        <v>8</v>
      </c>
      <c r="D10" s="12"/>
      <c r="E10" s="12"/>
      <c r="F10" s="14" t="s">
        <v>42</v>
      </c>
      <c r="G10" s="12"/>
      <c r="H10" s="12"/>
      <c r="I10" s="12"/>
      <c r="J10" s="7">
        <v>10</v>
      </c>
      <c r="M10" s="7" t="s">
        <v>288</v>
      </c>
      <c r="Q10" s="7" t="s">
        <v>326</v>
      </c>
    </row>
    <row r="11" spans="1:17" x14ac:dyDescent="0.25">
      <c r="A11" s="9" t="s">
        <v>9</v>
      </c>
      <c r="B11" s="12"/>
      <c r="C11" s="13" t="s">
        <v>9</v>
      </c>
      <c r="D11" s="12"/>
      <c r="E11" s="12"/>
      <c r="F11" s="14" t="s">
        <v>43</v>
      </c>
      <c r="G11" s="12"/>
      <c r="H11" s="12"/>
      <c r="I11" s="12"/>
      <c r="J11" s="7">
        <v>11</v>
      </c>
      <c r="Q11" s="7" t="s">
        <v>327</v>
      </c>
    </row>
    <row r="12" spans="1:17" x14ac:dyDescent="0.25">
      <c r="A12" s="9" t="s">
        <v>74</v>
      </c>
      <c r="B12" s="12"/>
      <c r="C12" s="9" t="s">
        <v>74</v>
      </c>
      <c r="D12" s="12"/>
      <c r="E12" s="12"/>
      <c r="F12" s="14" t="s">
        <v>44</v>
      </c>
      <c r="G12" s="12"/>
      <c r="H12" s="12"/>
      <c r="I12" s="12"/>
      <c r="J12" s="7">
        <v>12</v>
      </c>
      <c r="Q12" s="7" t="s">
        <v>328</v>
      </c>
    </row>
    <row r="13" spans="1:17" x14ac:dyDescent="0.25">
      <c r="A13" s="9" t="s">
        <v>75</v>
      </c>
      <c r="C13" s="9" t="s">
        <v>75</v>
      </c>
      <c r="F13" s="14" t="s">
        <v>45</v>
      </c>
      <c r="J13" s="7">
        <v>13</v>
      </c>
      <c r="Q13" s="7" t="s">
        <v>329</v>
      </c>
    </row>
    <row r="14" spans="1:17" x14ac:dyDescent="0.25">
      <c r="A14" s="9" t="s">
        <v>76</v>
      </c>
      <c r="C14" s="9" t="s">
        <v>76</v>
      </c>
      <c r="F14" s="14" t="s">
        <v>46</v>
      </c>
      <c r="J14" s="7">
        <v>14</v>
      </c>
      <c r="Q14" s="7" t="s">
        <v>330</v>
      </c>
    </row>
    <row r="15" spans="1:17" x14ac:dyDescent="0.25">
      <c r="A15" s="9" t="s">
        <v>77</v>
      </c>
      <c r="C15" s="9" t="s">
        <v>77</v>
      </c>
      <c r="E15" s="7" t="s">
        <v>232</v>
      </c>
      <c r="F15" s="14" t="s">
        <v>47</v>
      </c>
      <c r="J15" s="7">
        <v>15</v>
      </c>
      <c r="Q15" s="7" t="s">
        <v>331</v>
      </c>
    </row>
    <row r="16" spans="1:17" x14ac:dyDescent="0.25">
      <c r="A16" s="9" t="s">
        <v>78</v>
      </c>
      <c r="C16" s="13" t="s">
        <v>78</v>
      </c>
      <c r="E16" s="7" t="s">
        <v>233</v>
      </c>
      <c r="F16" s="9" t="s">
        <v>48</v>
      </c>
      <c r="J16" s="7">
        <v>16</v>
      </c>
      <c r="Q16" s="7" t="s">
        <v>332</v>
      </c>
    </row>
    <row r="17" spans="1:17" x14ac:dyDescent="0.25">
      <c r="A17" s="9" t="s">
        <v>79</v>
      </c>
      <c r="C17" s="13" t="s">
        <v>79</v>
      </c>
      <c r="E17" s="7" t="s">
        <v>238</v>
      </c>
      <c r="F17" s="9" t="s">
        <v>49</v>
      </c>
      <c r="J17" s="7">
        <v>17</v>
      </c>
      <c r="Q17" s="7" t="s">
        <v>333</v>
      </c>
    </row>
    <row r="18" spans="1:17" x14ac:dyDescent="0.25">
      <c r="A18" s="9" t="s">
        <v>80</v>
      </c>
      <c r="C18" s="13" t="s">
        <v>80</v>
      </c>
      <c r="F18" s="9" t="s">
        <v>50</v>
      </c>
      <c r="J18" s="7">
        <v>18</v>
      </c>
      <c r="Q18" s="7" t="s">
        <v>334</v>
      </c>
    </row>
    <row r="19" spans="1:17" x14ac:dyDescent="0.25">
      <c r="A19" s="9" t="s">
        <v>81</v>
      </c>
      <c r="C19" s="13" t="s">
        <v>81</v>
      </c>
      <c r="J19" s="7">
        <v>19</v>
      </c>
      <c r="Q19" s="7" t="s">
        <v>335</v>
      </c>
    </row>
    <row r="20" spans="1:17" x14ac:dyDescent="0.25">
      <c r="A20" s="9" t="s">
        <v>82</v>
      </c>
      <c r="C20" s="13" t="s">
        <v>82</v>
      </c>
      <c r="J20" s="7">
        <v>20</v>
      </c>
      <c r="Q20" s="7" t="s">
        <v>336</v>
      </c>
    </row>
    <row r="21" spans="1:17" x14ac:dyDescent="0.25">
      <c r="A21" s="9" t="s">
        <v>83</v>
      </c>
      <c r="C21" s="13" t="s">
        <v>83</v>
      </c>
      <c r="J21" s="7">
        <v>21</v>
      </c>
      <c r="Q21" s="7" t="s">
        <v>337</v>
      </c>
    </row>
    <row r="22" spans="1:17" x14ac:dyDescent="0.25">
      <c r="A22" s="9" t="s">
        <v>84</v>
      </c>
      <c r="C22" s="9" t="s">
        <v>84</v>
      </c>
      <c r="J22" s="7">
        <v>22</v>
      </c>
      <c r="Q22" s="7" t="s">
        <v>338</v>
      </c>
    </row>
    <row r="23" spans="1:17" x14ac:dyDescent="0.25">
      <c r="A23" s="9" t="s">
        <v>85</v>
      </c>
      <c r="C23" s="9" t="s">
        <v>87</v>
      </c>
      <c r="J23" s="7">
        <v>23</v>
      </c>
      <c r="Q23" s="7" t="s">
        <v>339</v>
      </c>
    </row>
    <row r="24" spans="1:17" x14ac:dyDescent="0.25">
      <c r="A24" s="9" t="s">
        <v>86</v>
      </c>
      <c r="C24" s="9" t="s">
        <v>88</v>
      </c>
      <c r="F24" s="9" t="s">
        <v>240</v>
      </c>
      <c r="J24" s="7">
        <v>24</v>
      </c>
      <c r="Q24" s="7" t="s">
        <v>340</v>
      </c>
    </row>
    <row r="25" spans="1:17" x14ac:dyDescent="0.25">
      <c r="A25" s="9" t="s">
        <v>90</v>
      </c>
      <c r="C25" s="9" t="s">
        <v>237</v>
      </c>
      <c r="F25" s="9" t="s">
        <v>241</v>
      </c>
      <c r="J25" s="7">
        <v>25</v>
      </c>
      <c r="Q25" s="7" t="s">
        <v>341</v>
      </c>
    </row>
    <row r="26" spans="1:17" x14ac:dyDescent="0.25">
      <c r="A26" s="9" t="s">
        <v>91</v>
      </c>
      <c r="J26" s="7">
        <v>26</v>
      </c>
      <c r="Q26" s="7" t="s">
        <v>342</v>
      </c>
    </row>
    <row r="27" spans="1:17" x14ac:dyDescent="0.25">
      <c r="A27" s="9" t="s">
        <v>92</v>
      </c>
      <c r="J27" s="7">
        <v>27</v>
      </c>
      <c r="Q27" s="7" t="s">
        <v>343</v>
      </c>
    </row>
    <row r="28" spans="1:17" x14ac:dyDescent="0.25">
      <c r="A28" s="9" t="s">
        <v>93</v>
      </c>
      <c r="F28" s="9" t="s">
        <v>243</v>
      </c>
      <c r="J28" s="7">
        <v>28</v>
      </c>
      <c r="Q28" s="7" t="s">
        <v>344</v>
      </c>
    </row>
    <row r="29" spans="1:17" x14ac:dyDescent="0.25">
      <c r="A29" s="9" t="s">
        <v>94</v>
      </c>
      <c r="F29" s="9" t="s">
        <v>244</v>
      </c>
      <c r="J29" s="7">
        <v>29</v>
      </c>
      <c r="Q29" s="7" t="s">
        <v>345</v>
      </c>
    </row>
    <row r="30" spans="1:17" x14ac:dyDescent="0.25">
      <c r="A30" s="9" t="s">
        <v>95</v>
      </c>
      <c r="F30" s="9" t="s">
        <v>245</v>
      </c>
      <c r="J30" s="7">
        <v>30</v>
      </c>
      <c r="Q30" s="7" t="s">
        <v>346</v>
      </c>
    </row>
    <row r="31" spans="1:17" x14ac:dyDescent="0.25">
      <c r="A31" s="9" t="s">
        <v>96</v>
      </c>
      <c r="J31" s="7">
        <v>31</v>
      </c>
      <c r="Q31" s="7" t="s">
        <v>347</v>
      </c>
    </row>
    <row r="32" spans="1:17" x14ac:dyDescent="0.25">
      <c r="A32" s="9" t="s">
        <v>97</v>
      </c>
      <c r="J32" s="7">
        <v>32</v>
      </c>
      <c r="Q32" s="7" t="s">
        <v>348</v>
      </c>
    </row>
    <row r="33" spans="1:17" x14ac:dyDescent="0.25">
      <c r="A33" s="9" t="s">
        <v>98</v>
      </c>
      <c r="J33" s="7">
        <v>33</v>
      </c>
      <c r="Q33" s="7" t="s">
        <v>349</v>
      </c>
    </row>
    <row r="34" spans="1:17" x14ac:dyDescent="0.25">
      <c r="A34" s="9" t="s">
        <v>99</v>
      </c>
      <c r="J34" s="7">
        <v>34</v>
      </c>
      <c r="Q34" s="7" t="s">
        <v>350</v>
      </c>
    </row>
    <row r="35" spans="1:17" x14ac:dyDescent="0.25">
      <c r="A35" s="9" t="s">
        <v>100</v>
      </c>
      <c r="J35" s="7">
        <v>35</v>
      </c>
      <c r="Q35" s="7" t="s">
        <v>351</v>
      </c>
    </row>
    <row r="36" spans="1:17" x14ac:dyDescent="0.25">
      <c r="A36" s="9" t="s">
        <v>101</v>
      </c>
      <c r="J36" s="7">
        <v>36</v>
      </c>
      <c r="Q36" s="7" t="s">
        <v>352</v>
      </c>
    </row>
    <row r="37" spans="1:17" x14ac:dyDescent="0.25">
      <c r="A37" s="9" t="s">
        <v>102</v>
      </c>
      <c r="Q37" s="7" t="s">
        <v>353</v>
      </c>
    </row>
    <row r="38" spans="1:17" x14ac:dyDescent="0.25">
      <c r="A38" s="9" t="s">
        <v>103</v>
      </c>
      <c r="Q38" s="7" t="s">
        <v>354</v>
      </c>
    </row>
    <row r="39" spans="1:17" x14ac:dyDescent="0.25">
      <c r="A39" s="9" t="s">
        <v>165</v>
      </c>
      <c r="Q39" s="7" t="s">
        <v>355</v>
      </c>
    </row>
    <row r="40" spans="1:17" x14ac:dyDescent="0.25">
      <c r="A40" s="9" t="s">
        <v>166</v>
      </c>
      <c r="Q40" s="7" t="s">
        <v>356</v>
      </c>
    </row>
    <row r="41" spans="1:17" x14ac:dyDescent="0.25">
      <c r="A41" s="9" t="s">
        <v>167</v>
      </c>
      <c r="Q41" s="7" t="s">
        <v>357</v>
      </c>
    </row>
    <row r="42" spans="1:17" x14ac:dyDescent="0.25">
      <c r="A42" s="9" t="s">
        <v>168</v>
      </c>
      <c r="Q42" s="7" t="s">
        <v>314</v>
      </c>
    </row>
    <row r="43" spans="1:17" x14ac:dyDescent="0.25">
      <c r="A43" s="9" t="s">
        <v>169</v>
      </c>
      <c r="Q43" s="7" t="s">
        <v>358</v>
      </c>
    </row>
    <row r="44" spans="1:17" x14ac:dyDescent="0.25">
      <c r="A44" s="9" t="s">
        <v>170</v>
      </c>
      <c r="Q44" s="7" t="s">
        <v>359</v>
      </c>
    </row>
    <row r="45" spans="1:17" x14ac:dyDescent="0.25">
      <c r="A45" s="9" t="s">
        <v>171</v>
      </c>
      <c r="Q45" s="7" t="s">
        <v>360</v>
      </c>
    </row>
    <row r="46" spans="1:17" x14ac:dyDescent="0.25">
      <c r="A46" s="9" t="s">
        <v>172</v>
      </c>
      <c r="Q46" s="7" t="s">
        <v>360</v>
      </c>
    </row>
    <row r="47" spans="1:17" x14ac:dyDescent="0.25">
      <c r="A47" s="9" t="s">
        <v>173</v>
      </c>
      <c r="Q47" s="7" t="s">
        <v>361</v>
      </c>
    </row>
    <row r="48" spans="1:17" x14ac:dyDescent="0.25">
      <c r="A48" s="9" t="s">
        <v>174</v>
      </c>
      <c r="Q48" s="7" t="s">
        <v>362</v>
      </c>
    </row>
    <row r="49" spans="1:17" x14ac:dyDescent="0.25">
      <c r="A49" s="9" t="s">
        <v>175</v>
      </c>
      <c r="Q49" s="7" t="s">
        <v>363</v>
      </c>
    </row>
    <row r="50" spans="1:17" x14ac:dyDescent="0.25">
      <c r="A50" s="9" t="s">
        <v>176</v>
      </c>
      <c r="Q50" s="7" t="s">
        <v>364</v>
      </c>
    </row>
    <row r="51" spans="1:17" x14ac:dyDescent="0.25">
      <c r="A51" s="9" t="s">
        <v>177</v>
      </c>
      <c r="Q51" s="7" t="s">
        <v>313</v>
      </c>
    </row>
    <row r="52" spans="1:17" x14ac:dyDescent="0.25">
      <c r="A52" s="9" t="s">
        <v>178</v>
      </c>
      <c r="Q52" s="7" t="s">
        <v>365</v>
      </c>
    </row>
    <row r="53" spans="1:17" x14ac:dyDescent="0.25">
      <c r="A53" s="9" t="s">
        <v>179</v>
      </c>
      <c r="Q53" s="7" t="s">
        <v>366</v>
      </c>
    </row>
    <row r="54" spans="1:17" x14ac:dyDescent="0.25">
      <c r="A54" s="9" t="s">
        <v>180</v>
      </c>
      <c r="Q54" s="7" t="s">
        <v>367</v>
      </c>
    </row>
    <row r="55" spans="1:17" x14ac:dyDescent="0.25">
      <c r="A55" s="9" t="s">
        <v>181</v>
      </c>
      <c r="Q55" s="7" t="s">
        <v>367</v>
      </c>
    </row>
    <row r="56" spans="1:17" x14ac:dyDescent="0.25">
      <c r="A56" s="9" t="s">
        <v>182</v>
      </c>
      <c r="Q56" s="7" t="s">
        <v>368</v>
      </c>
    </row>
    <row r="57" spans="1:17" x14ac:dyDescent="0.25">
      <c r="A57" s="9" t="s">
        <v>183</v>
      </c>
      <c r="Q57" s="7" t="s">
        <v>369</v>
      </c>
    </row>
    <row r="58" spans="1:17" x14ac:dyDescent="0.25">
      <c r="A58" s="9" t="s">
        <v>184</v>
      </c>
      <c r="Q58" s="7" t="s">
        <v>370</v>
      </c>
    </row>
    <row r="59" spans="1:17" x14ac:dyDescent="0.25">
      <c r="A59" s="9" t="s">
        <v>185</v>
      </c>
      <c r="Q59" s="7" t="s">
        <v>371</v>
      </c>
    </row>
    <row r="60" spans="1:17" x14ac:dyDescent="0.25">
      <c r="A60" s="9" t="s">
        <v>186</v>
      </c>
      <c r="Q60" s="7" t="s">
        <v>372</v>
      </c>
    </row>
    <row r="61" spans="1:17" x14ac:dyDescent="0.25">
      <c r="A61" s="9" t="s">
        <v>10</v>
      </c>
      <c r="Q61" s="7" t="s">
        <v>373</v>
      </c>
    </row>
    <row r="62" spans="1:17" x14ac:dyDescent="0.25">
      <c r="A62" s="9" t="s">
        <v>11</v>
      </c>
      <c r="Q62" s="7" t="s">
        <v>374</v>
      </c>
    </row>
    <row r="63" spans="1:17" x14ac:dyDescent="0.25">
      <c r="A63" s="9" t="s">
        <v>12</v>
      </c>
      <c r="Q63" s="7" t="s">
        <v>375</v>
      </c>
    </row>
    <row r="64" spans="1:17" x14ac:dyDescent="0.25">
      <c r="A64" s="9" t="s">
        <v>13</v>
      </c>
      <c r="Q64" s="7" t="s">
        <v>376</v>
      </c>
    </row>
    <row r="65" spans="1:17" x14ac:dyDescent="0.25">
      <c r="A65" s="9" t="s">
        <v>14</v>
      </c>
      <c r="Q65" s="7" t="s">
        <v>377</v>
      </c>
    </row>
    <row r="66" spans="1:17" x14ac:dyDescent="0.25">
      <c r="A66" s="9" t="s">
        <v>15</v>
      </c>
      <c r="Q66" s="7" t="s">
        <v>378</v>
      </c>
    </row>
    <row r="67" spans="1:17" x14ac:dyDescent="0.25">
      <c r="A67" s="9" t="s">
        <v>16</v>
      </c>
      <c r="Q67" s="7" t="s">
        <v>379</v>
      </c>
    </row>
    <row r="68" spans="1:17" x14ac:dyDescent="0.25">
      <c r="A68" s="9" t="s">
        <v>17</v>
      </c>
      <c r="Q68" s="7" t="s">
        <v>380</v>
      </c>
    </row>
    <row r="69" spans="1:17" x14ac:dyDescent="0.25">
      <c r="A69" s="9" t="s">
        <v>18</v>
      </c>
      <c r="Q69" s="7" t="s">
        <v>381</v>
      </c>
    </row>
    <row r="70" spans="1:17" x14ac:dyDescent="0.25">
      <c r="A70" s="9" t="s">
        <v>19</v>
      </c>
      <c r="Q70" s="7" t="s">
        <v>315</v>
      </c>
    </row>
    <row r="71" spans="1:17" x14ac:dyDescent="0.25">
      <c r="A71" s="9" t="s">
        <v>20</v>
      </c>
      <c r="Q71" s="7" t="s">
        <v>382</v>
      </c>
    </row>
    <row r="72" spans="1:17" x14ac:dyDescent="0.25">
      <c r="A72" s="9" t="s">
        <v>21</v>
      </c>
      <c r="Q72" s="7" t="s">
        <v>383</v>
      </c>
    </row>
    <row r="73" spans="1:17" x14ac:dyDescent="0.25">
      <c r="A73" s="9" t="s">
        <v>22</v>
      </c>
      <c r="Q73" s="7" t="s">
        <v>384</v>
      </c>
    </row>
    <row r="74" spans="1:17" x14ac:dyDescent="0.25">
      <c r="A74" s="9" t="s">
        <v>23</v>
      </c>
      <c r="Q74" s="7" t="s">
        <v>316</v>
      </c>
    </row>
    <row r="75" spans="1:17" x14ac:dyDescent="0.25">
      <c r="A75" s="9" t="s">
        <v>24</v>
      </c>
      <c r="Q75" s="7" t="s">
        <v>385</v>
      </c>
    </row>
    <row r="76" spans="1:17" x14ac:dyDescent="0.25">
      <c r="A76" s="9" t="s">
        <v>104</v>
      </c>
      <c r="Q76" s="7" t="s">
        <v>386</v>
      </c>
    </row>
    <row r="77" spans="1:17" x14ac:dyDescent="0.25">
      <c r="A77" s="9" t="s">
        <v>105</v>
      </c>
      <c r="Q77" s="7" t="s">
        <v>387</v>
      </c>
    </row>
    <row r="78" spans="1:17" x14ac:dyDescent="0.25">
      <c r="A78" s="9" t="s">
        <v>106</v>
      </c>
      <c r="Q78" s="7" t="s">
        <v>388</v>
      </c>
    </row>
    <row r="79" spans="1:17" x14ac:dyDescent="0.25">
      <c r="A79" s="9" t="s">
        <v>107</v>
      </c>
      <c r="Q79" s="7" t="s">
        <v>389</v>
      </c>
    </row>
    <row r="80" spans="1:17" x14ac:dyDescent="0.25">
      <c r="A80" s="9" t="s">
        <v>108</v>
      </c>
      <c r="Q80" s="7" t="s">
        <v>390</v>
      </c>
    </row>
    <row r="81" spans="1:17" x14ac:dyDescent="0.25">
      <c r="A81" s="9" t="s">
        <v>109</v>
      </c>
      <c r="Q81" s="7" t="s">
        <v>391</v>
      </c>
    </row>
    <row r="82" spans="1:17" x14ac:dyDescent="0.25">
      <c r="A82" s="9" t="s">
        <v>110</v>
      </c>
      <c r="Q82" s="7" t="s">
        <v>392</v>
      </c>
    </row>
    <row r="83" spans="1:17" x14ac:dyDescent="0.25">
      <c r="A83" s="9" t="s">
        <v>111</v>
      </c>
      <c r="Q83" s="7" t="s">
        <v>393</v>
      </c>
    </row>
    <row r="84" spans="1:17" x14ac:dyDescent="0.25">
      <c r="A84" s="9" t="s">
        <v>112</v>
      </c>
      <c r="Q84" s="7" t="s">
        <v>394</v>
      </c>
    </row>
    <row r="85" spans="1:17" x14ac:dyDescent="0.25">
      <c r="A85" s="9" t="s">
        <v>113</v>
      </c>
      <c r="Q85" s="7" t="s">
        <v>395</v>
      </c>
    </row>
    <row r="86" spans="1:17" x14ac:dyDescent="0.25">
      <c r="A86" s="9" t="s">
        <v>114</v>
      </c>
      <c r="Q86" s="7" t="s">
        <v>397</v>
      </c>
    </row>
    <row r="87" spans="1:17" x14ac:dyDescent="0.25">
      <c r="A87" s="9" t="s">
        <v>115</v>
      </c>
      <c r="Q87" s="7" t="s">
        <v>396</v>
      </c>
    </row>
    <row r="88" spans="1:17" x14ac:dyDescent="0.25">
      <c r="A88" s="9" t="s">
        <v>116</v>
      </c>
      <c r="Q88" s="7" t="s">
        <v>317</v>
      </c>
    </row>
    <row r="89" spans="1:17" x14ac:dyDescent="0.25">
      <c r="A89" s="9" t="s">
        <v>117</v>
      </c>
      <c r="Q89" s="7" t="s">
        <v>398</v>
      </c>
    </row>
    <row r="90" spans="1:17" x14ac:dyDescent="0.25">
      <c r="A90" s="9" t="s">
        <v>118</v>
      </c>
      <c r="Q90" s="7" t="s">
        <v>319</v>
      </c>
    </row>
    <row r="91" spans="1:17" x14ac:dyDescent="0.25">
      <c r="A91" s="9" t="s">
        <v>119</v>
      </c>
      <c r="Q91" s="7" t="s">
        <v>399</v>
      </c>
    </row>
    <row r="92" spans="1:17" x14ac:dyDescent="0.25">
      <c r="A92" s="9" t="s">
        <v>120</v>
      </c>
      <c r="Q92" s="7" t="s">
        <v>400</v>
      </c>
    </row>
    <row r="93" spans="1:17" x14ac:dyDescent="0.25">
      <c r="A93" s="9" t="s">
        <v>121</v>
      </c>
      <c r="Q93" s="7" t="s">
        <v>400</v>
      </c>
    </row>
    <row r="94" spans="1:17" x14ac:dyDescent="0.25">
      <c r="A94" s="9" t="s">
        <v>122</v>
      </c>
      <c r="Q94" s="7" t="s">
        <v>401</v>
      </c>
    </row>
    <row r="95" spans="1:17" x14ac:dyDescent="0.25">
      <c r="A95" s="9" t="s">
        <v>123</v>
      </c>
      <c r="Q95" s="7" t="s">
        <v>402</v>
      </c>
    </row>
    <row r="96" spans="1:17" x14ac:dyDescent="0.25">
      <c r="A96" s="9" t="s">
        <v>124</v>
      </c>
      <c r="Q96" s="7" t="s">
        <v>403</v>
      </c>
    </row>
    <row r="97" spans="1:17" x14ac:dyDescent="0.25">
      <c r="A97" s="9" t="s">
        <v>125</v>
      </c>
      <c r="Q97" s="7" t="s">
        <v>404</v>
      </c>
    </row>
    <row r="98" spans="1:17" x14ac:dyDescent="0.25">
      <c r="A98" s="9" t="s">
        <v>126</v>
      </c>
      <c r="Q98" s="7" t="s">
        <v>405</v>
      </c>
    </row>
    <row r="99" spans="1:17" x14ac:dyDescent="0.25">
      <c r="A99" s="9" t="s">
        <v>187</v>
      </c>
      <c r="Q99" s="7" t="s">
        <v>406</v>
      </c>
    </row>
    <row r="100" spans="1:17" x14ac:dyDescent="0.25">
      <c r="A100" s="9" t="s">
        <v>188</v>
      </c>
      <c r="Q100" s="7" t="s">
        <v>407</v>
      </c>
    </row>
    <row r="101" spans="1:17" x14ac:dyDescent="0.25">
      <c r="A101" s="9" t="s">
        <v>189</v>
      </c>
      <c r="Q101" s="7" t="s">
        <v>408</v>
      </c>
    </row>
    <row r="102" spans="1:17" x14ac:dyDescent="0.25">
      <c r="A102" s="9" t="s">
        <v>190</v>
      </c>
      <c r="Q102" s="7" t="s">
        <v>409</v>
      </c>
    </row>
    <row r="103" spans="1:17" x14ac:dyDescent="0.25">
      <c r="A103" s="9" t="s">
        <v>191</v>
      </c>
      <c r="Q103" s="7" t="s">
        <v>410</v>
      </c>
    </row>
    <row r="104" spans="1:17" x14ac:dyDescent="0.25">
      <c r="A104" s="9" t="s">
        <v>192</v>
      </c>
      <c r="Q104" s="7" t="s">
        <v>411</v>
      </c>
    </row>
    <row r="105" spans="1:17" x14ac:dyDescent="0.25">
      <c r="A105" s="9" t="s">
        <v>193</v>
      </c>
      <c r="Q105" s="7" t="s">
        <v>412</v>
      </c>
    </row>
    <row r="106" spans="1:17" x14ac:dyDescent="0.25">
      <c r="A106" s="9" t="s">
        <v>194</v>
      </c>
      <c r="Q106" s="7" t="s">
        <v>413</v>
      </c>
    </row>
    <row r="107" spans="1:17" x14ac:dyDescent="0.25">
      <c r="A107" s="9" t="s">
        <v>195</v>
      </c>
      <c r="Q107" s="7" t="s">
        <v>414</v>
      </c>
    </row>
    <row r="108" spans="1:17" x14ac:dyDescent="0.25">
      <c r="A108" s="9" t="s">
        <v>196</v>
      </c>
      <c r="Q108" s="7" t="s">
        <v>415</v>
      </c>
    </row>
    <row r="109" spans="1:17" x14ac:dyDescent="0.25">
      <c r="A109" s="9" t="s">
        <v>197</v>
      </c>
      <c r="Q109" s="7" t="s">
        <v>416</v>
      </c>
    </row>
    <row r="110" spans="1:17" x14ac:dyDescent="0.25">
      <c r="A110" s="9" t="s">
        <v>198</v>
      </c>
      <c r="Q110" s="7" t="s">
        <v>417</v>
      </c>
    </row>
    <row r="111" spans="1:17" x14ac:dyDescent="0.25">
      <c r="A111" s="9" t="s">
        <v>199</v>
      </c>
      <c r="Q111" s="7" t="s">
        <v>418</v>
      </c>
    </row>
    <row r="112" spans="1:17" x14ac:dyDescent="0.25">
      <c r="A112" s="9" t="s">
        <v>200</v>
      </c>
      <c r="Q112" s="7" t="s">
        <v>419</v>
      </c>
    </row>
    <row r="113" spans="1:17" x14ac:dyDescent="0.25">
      <c r="A113" s="9" t="s">
        <v>201</v>
      </c>
      <c r="Q113" s="7" t="s">
        <v>420</v>
      </c>
    </row>
    <row r="114" spans="1:17" x14ac:dyDescent="0.25">
      <c r="A114" s="9" t="s">
        <v>202</v>
      </c>
      <c r="Q114" s="7" t="s">
        <v>421</v>
      </c>
    </row>
    <row r="115" spans="1:17" x14ac:dyDescent="0.25">
      <c r="A115" s="9" t="s">
        <v>203</v>
      </c>
      <c r="Q115" s="7" t="s">
        <v>422</v>
      </c>
    </row>
    <row r="116" spans="1:17" x14ac:dyDescent="0.25">
      <c r="A116" s="9" t="s">
        <v>204</v>
      </c>
      <c r="Q116" s="7" t="s">
        <v>423</v>
      </c>
    </row>
    <row r="117" spans="1:17" x14ac:dyDescent="0.25">
      <c r="A117" s="9" t="s">
        <v>205</v>
      </c>
      <c r="Q117" s="7" t="s">
        <v>424</v>
      </c>
    </row>
    <row r="118" spans="1:17" x14ac:dyDescent="0.25">
      <c r="A118" s="9" t="s">
        <v>206</v>
      </c>
      <c r="Q118" s="7" t="s">
        <v>425</v>
      </c>
    </row>
    <row r="119" spans="1:17" x14ac:dyDescent="0.25">
      <c r="A119" s="9" t="s">
        <v>207</v>
      </c>
      <c r="Q119" s="7" t="s">
        <v>426</v>
      </c>
    </row>
    <row r="120" spans="1:17" x14ac:dyDescent="0.25">
      <c r="A120" s="9" t="s">
        <v>208</v>
      </c>
      <c r="Q120" s="7" t="s">
        <v>427</v>
      </c>
    </row>
    <row r="121" spans="1:17" x14ac:dyDescent="0.25">
      <c r="A121" s="9" t="s">
        <v>127</v>
      </c>
      <c r="Q121" s="7" t="s">
        <v>428</v>
      </c>
    </row>
    <row r="122" spans="1:17" x14ac:dyDescent="0.25">
      <c r="A122" s="9" t="s">
        <v>128</v>
      </c>
      <c r="Q122" s="7" t="s">
        <v>429</v>
      </c>
    </row>
    <row r="123" spans="1:17" x14ac:dyDescent="0.25">
      <c r="A123" s="9" t="s">
        <v>129</v>
      </c>
      <c r="Q123" s="7" t="s">
        <v>430</v>
      </c>
    </row>
    <row r="124" spans="1:17" x14ac:dyDescent="0.25">
      <c r="A124" s="9" t="s">
        <v>130</v>
      </c>
      <c r="Q124" s="7" t="s">
        <v>431</v>
      </c>
    </row>
    <row r="125" spans="1:17" x14ac:dyDescent="0.25">
      <c r="A125" s="9" t="s">
        <v>131</v>
      </c>
      <c r="Q125" s="7" t="s">
        <v>432</v>
      </c>
    </row>
    <row r="126" spans="1:17" x14ac:dyDescent="0.25">
      <c r="A126" s="9" t="s">
        <v>132</v>
      </c>
      <c r="Q126" s="7" t="s">
        <v>433</v>
      </c>
    </row>
    <row r="127" spans="1:17" x14ac:dyDescent="0.25">
      <c r="A127" s="9" t="s">
        <v>133</v>
      </c>
      <c r="Q127" s="7" t="s">
        <v>434</v>
      </c>
    </row>
    <row r="128" spans="1:17" x14ac:dyDescent="0.25">
      <c r="A128" s="9" t="s">
        <v>134</v>
      </c>
      <c r="Q128" s="7" t="s">
        <v>435</v>
      </c>
    </row>
    <row r="129" spans="1:17" x14ac:dyDescent="0.25">
      <c r="A129" s="9" t="s">
        <v>135</v>
      </c>
      <c r="Q129" s="7" t="s">
        <v>436</v>
      </c>
    </row>
    <row r="130" spans="1:17" x14ac:dyDescent="0.25">
      <c r="A130" s="9" t="s">
        <v>136</v>
      </c>
      <c r="Q130" s="7" t="s">
        <v>437</v>
      </c>
    </row>
    <row r="131" spans="1:17" x14ac:dyDescent="0.25">
      <c r="A131" s="9" t="s">
        <v>137</v>
      </c>
      <c r="Q131" s="7" t="s">
        <v>438</v>
      </c>
    </row>
    <row r="132" spans="1:17" x14ac:dyDescent="0.25">
      <c r="A132" s="9" t="s">
        <v>138</v>
      </c>
      <c r="Q132" s="7" t="s">
        <v>439</v>
      </c>
    </row>
    <row r="133" spans="1:17" x14ac:dyDescent="0.25">
      <c r="A133" s="9" t="s">
        <v>139</v>
      </c>
      <c r="Q133" s="7" t="s">
        <v>440</v>
      </c>
    </row>
    <row r="134" spans="1:17" x14ac:dyDescent="0.25">
      <c r="A134" s="9" t="s">
        <v>140</v>
      </c>
      <c r="Q134" s="7" t="s">
        <v>441</v>
      </c>
    </row>
    <row r="135" spans="1:17" x14ac:dyDescent="0.25">
      <c r="A135" s="9" t="s">
        <v>141</v>
      </c>
      <c r="Q135" s="7" t="s">
        <v>442</v>
      </c>
    </row>
    <row r="136" spans="1:17" x14ac:dyDescent="0.25">
      <c r="A136" s="9" t="s">
        <v>142</v>
      </c>
      <c r="Q136" s="7" t="s">
        <v>443</v>
      </c>
    </row>
    <row r="137" spans="1:17" x14ac:dyDescent="0.25">
      <c r="A137" s="9" t="s">
        <v>143</v>
      </c>
      <c r="Q137" s="7" t="s">
        <v>445</v>
      </c>
    </row>
    <row r="138" spans="1:17" x14ac:dyDescent="0.25">
      <c r="A138" s="9" t="s">
        <v>144</v>
      </c>
      <c r="Q138" s="7" t="s">
        <v>446</v>
      </c>
    </row>
    <row r="139" spans="1:17" x14ac:dyDescent="0.25">
      <c r="A139" s="9" t="s">
        <v>145</v>
      </c>
      <c r="Q139" s="7" t="s">
        <v>447</v>
      </c>
    </row>
    <row r="140" spans="1:17" x14ac:dyDescent="0.25">
      <c r="A140" s="9" t="s">
        <v>146</v>
      </c>
      <c r="Q140" s="7" t="s">
        <v>444</v>
      </c>
    </row>
    <row r="141" spans="1:17" x14ac:dyDescent="0.25">
      <c r="A141" s="9" t="s">
        <v>147</v>
      </c>
      <c r="Q141" s="7" t="s">
        <v>448</v>
      </c>
    </row>
    <row r="142" spans="1:17" x14ac:dyDescent="0.25">
      <c r="A142" s="9" t="s">
        <v>148</v>
      </c>
      <c r="Q142" s="7" t="s">
        <v>449</v>
      </c>
    </row>
    <row r="143" spans="1:17" x14ac:dyDescent="0.25">
      <c r="A143" s="9" t="s">
        <v>149</v>
      </c>
      <c r="Q143" s="7" t="s">
        <v>450</v>
      </c>
    </row>
    <row r="144" spans="1:17" x14ac:dyDescent="0.25">
      <c r="A144" s="9" t="s">
        <v>150</v>
      </c>
      <c r="Q144" s="7" t="s">
        <v>451</v>
      </c>
    </row>
    <row r="145" spans="1:17" x14ac:dyDescent="0.25">
      <c r="A145" s="9" t="s">
        <v>151</v>
      </c>
      <c r="Q145" s="7" t="s">
        <v>318</v>
      </c>
    </row>
    <row r="146" spans="1:17" x14ac:dyDescent="0.25">
      <c r="A146" s="9" t="s">
        <v>152</v>
      </c>
      <c r="Q146" s="7" t="s">
        <v>452</v>
      </c>
    </row>
    <row r="147" spans="1:17" x14ac:dyDescent="0.25">
      <c r="A147" s="9" t="s">
        <v>153</v>
      </c>
      <c r="Q147" s="7" t="s">
        <v>453</v>
      </c>
    </row>
    <row r="148" spans="1:17" x14ac:dyDescent="0.25">
      <c r="A148" s="9" t="s">
        <v>154</v>
      </c>
      <c r="Q148" s="7" t="s">
        <v>454</v>
      </c>
    </row>
    <row r="149" spans="1:17" x14ac:dyDescent="0.25">
      <c r="A149" s="9" t="s">
        <v>155</v>
      </c>
      <c r="Q149" s="7" t="s">
        <v>455</v>
      </c>
    </row>
    <row r="150" spans="1:17" x14ac:dyDescent="0.25">
      <c r="A150" s="9" t="s">
        <v>156</v>
      </c>
      <c r="Q150" s="7" t="s">
        <v>456</v>
      </c>
    </row>
    <row r="151" spans="1:17" x14ac:dyDescent="0.25">
      <c r="A151" s="9" t="s">
        <v>157</v>
      </c>
      <c r="Q151" s="7" t="s">
        <v>311</v>
      </c>
    </row>
    <row r="152" spans="1:17" x14ac:dyDescent="0.25">
      <c r="A152" s="9" t="s">
        <v>158</v>
      </c>
      <c r="Q152" s="7" t="s">
        <v>457</v>
      </c>
    </row>
    <row r="153" spans="1:17" x14ac:dyDescent="0.25">
      <c r="A153" s="9" t="s">
        <v>159</v>
      </c>
      <c r="Q153" s="7" t="s">
        <v>458</v>
      </c>
    </row>
    <row r="154" spans="1:17" x14ac:dyDescent="0.25">
      <c r="A154" s="9" t="s">
        <v>160</v>
      </c>
      <c r="Q154" s="7" t="s">
        <v>459</v>
      </c>
    </row>
    <row r="155" spans="1:17" x14ac:dyDescent="0.25">
      <c r="A155" s="9" t="s">
        <v>161</v>
      </c>
      <c r="Q155" s="7" t="s">
        <v>312</v>
      </c>
    </row>
    <row r="156" spans="1:17" x14ac:dyDescent="0.25">
      <c r="A156" s="9" t="s">
        <v>162</v>
      </c>
      <c r="Q156" s="7" t="s">
        <v>460</v>
      </c>
    </row>
    <row r="157" spans="1:17" x14ac:dyDescent="0.25">
      <c r="A157" s="9" t="s">
        <v>163</v>
      </c>
      <c r="Q157" s="7" t="s">
        <v>461</v>
      </c>
    </row>
    <row r="158" spans="1:17" x14ac:dyDescent="0.25">
      <c r="A158" s="9" t="s">
        <v>164</v>
      </c>
      <c r="Q158" s="7" t="s">
        <v>462</v>
      </c>
    </row>
    <row r="159" spans="1:17" x14ac:dyDescent="0.25">
      <c r="A159" s="9" t="s">
        <v>209</v>
      </c>
      <c r="Q159" s="7" t="s">
        <v>463</v>
      </c>
    </row>
    <row r="160" spans="1:17" x14ac:dyDescent="0.25">
      <c r="A160" s="9" t="s">
        <v>210</v>
      </c>
      <c r="Q160" s="7" t="s">
        <v>464</v>
      </c>
    </row>
    <row r="161" spans="1:17" x14ac:dyDescent="0.25">
      <c r="A161" s="9" t="s">
        <v>211</v>
      </c>
      <c r="Q161" s="7" t="s">
        <v>465</v>
      </c>
    </row>
    <row r="162" spans="1:17" x14ac:dyDescent="0.25">
      <c r="A162" s="9" t="s">
        <v>212</v>
      </c>
      <c r="Q162" s="7" t="s">
        <v>466</v>
      </c>
    </row>
    <row r="163" spans="1:17" x14ac:dyDescent="0.25">
      <c r="A163" s="9" t="s">
        <v>213</v>
      </c>
      <c r="Q163" s="7" t="s">
        <v>467</v>
      </c>
    </row>
    <row r="164" spans="1:17" x14ac:dyDescent="0.25">
      <c r="A164" s="9" t="s">
        <v>214</v>
      </c>
      <c r="Q164" s="7" t="s">
        <v>468</v>
      </c>
    </row>
    <row r="165" spans="1:17" x14ac:dyDescent="0.25">
      <c r="A165" s="9" t="s">
        <v>215</v>
      </c>
      <c r="Q165" s="7" t="s">
        <v>469</v>
      </c>
    </row>
    <row r="166" spans="1:17" x14ac:dyDescent="0.25">
      <c r="A166" s="9" t="s">
        <v>216</v>
      </c>
      <c r="Q166" s="7" t="s">
        <v>470</v>
      </c>
    </row>
    <row r="167" spans="1:17" x14ac:dyDescent="0.25">
      <c r="A167" s="9" t="s">
        <v>217</v>
      </c>
      <c r="Q167" s="7" t="s">
        <v>471</v>
      </c>
    </row>
    <row r="168" spans="1:17" x14ac:dyDescent="0.25">
      <c r="A168" s="9" t="s">
        <v>218</v>
      </c>
      <c r="Q168" s="7" t="s">
        <v>472</v>
      </c>
    </row>
    <row r="169" spans="1:17" x14ac:dyDescent="0.25">
      <c r="A169" s="9" t="s">
        <v>219</v>
      </c>
      <c r="Q169" s="7" t="s">
        <v>473</v>
      </c>
    </row>
    <row r="170" spans="1:17" x14ac:dyDescent="0.25">
      <c r="A170" s="9" t="s">
        <v>220</v>
      </c>
      <c r="Q170" s="7" t="s">
        <v>474</v>
      </c>
    </row>
    <row r="171" spans="1:17" x14ac:dyDescent="0.25">
      <c r="A171" s="9" t="s">
        <v>221</v>
      </c>
      <c r="Q171" s="7" t="s">
        <v>475</v>
      </c>
    </row>
    <row r="172" spans="1:17" x14ac:dyDescent="0.25">
      <c r="A172" s="9" t="s">
        <v>222</v>
      </c>
      <c r="Q172" s="7" t="s">
        <v>476</v>
      </c>
    </row>
    <row r="173" spans="1:17" x14ac:dyDescent="0.25">
      <c r="A173" s="9" t="s">
        <v>223</v>
      </c>
      <c r="Q173" s="7" t="s">
        <v>477</v>
      </c>
    </row>
    <row r="174" spans="1:17" x14ac:dyDescent="0.25">
      <c r="A174" s="9" t="s">
        <v>224</v>
      </c>
      <c r="Q174" s="7" t="s">
        <v>478</v>
      </c>
    </row>
    <row r="175" spans="1:17" x14ac:dyDescent="0.25">
      <c r="A175" s="9" t="s">
        <v>225</v>
      </c>
      <c r="Q175" s="7" t="s">
        <v>479</v>
      </c>
    </row>
    <row r="176" spans="1:17" x14ac:dyDescent="0.25">
      <c r="A176" s="9" t="s">
        <v>226</v>
      </c>
      <c r="Q176" s="7" t="s">
        <v>480</v>
      </c>
    </row>
    <row r="177" spans="1:17" x14ac:dyDescent="0.25">
      <c r="A177" s="9" t="s">
        <v>227</v>
      </c>
      <c r="Q177" s="7" t="s">
        <v>481</v>
      </c>
    </row>
    <row r="178" spans="1:17" x14ac:dyDescent="0.25">
      <c r="A178" s="9" t="s">
        <v>228</v>
      </c>
      <c r="Q178" s="7" t="s">
        <v>482</v>
      </c>
    </row>
    <row r="179" spans="1:17" x14ac:dyDescent="0.25">
      <c r="A179" s="9" t="s">
        <v>229</v>
      </c>
      <c r="Q179" s="7" t="s">
        <v>483</v>
      </c>
    </row>
    <row r="180" spans="1:17" x14ac:dyDescent="0.25">
      <c r="A180" s="9" t="s">
        <v>230</v>
      </c>
      <c r="Q180" s="7" t="s">
        <v>484</v>
      </c>
    </row>
    <row r="181" spans="1:17" x14ac:dyDescent="0.25">
      <c r="Q181" s="7" t="s">
        <v>485</v>
      </c>
    </row>
    <row r="182" spans="1:17" x14ac:dyDescent="0.25">
      <c r="Q182" s="7" t="s">
        <v>486</v>
      </c>
    </row>
    <row r="183" spans="1:17" x14ac:dyDescent="0.25">
      <c r="Q183" s="7" t="s">
        <v>487</v>
      </c>
    </row>
    <row r="184" spans="1:17" x14ac:dyDescent="0.25">
      <c r="Q184" s="7" t="s">
        <v>488</v>
      </c>
    </row>
    <row r="185" spans="1:17" x14ac:dyDescent="0.25">
      <c r="Q185" s="7" t="s">
        <v>489</v>
      </c>
    </row>
    <row r="186" spans="1:17" x14ac:dyDescent="0.25">
      <c r="Q186" s="7" t="s">
        <v>490</v>
      </c>
    </row>
    <row r="187" spans="1:17" x14ac:dyDescent="0.25">
      <c r="Q187" s="7" t="s">
        <v>491</v>
      </c>
    </row>
    <row r="188" spans="1:17" x14ac:dyDescent="0.25">
      <c r="Q188" s="7" t="s">
        <v>492</v>
      </c>
    </row>
    <row r="189" spans="1:17" x14ac:dyDescent="0.25">
      <c r="Q189" s="7" t="s">
        <v>493</v>
      </c>
    </row>
    <row r="190" spans="1:17" x14ac:dyDescent="0.25">
      <c r="Q190" s="7" t="s">
        <v>494</v>
      </c>
    </row>
    <row r="191" spans="1:17" x14ac:dyDescent="0.25">
      <c r="Q191" s="7" t="s">
        <v>495</v>
      </c>
    </row>
    <row r="192" spans="1:17" x14ac:dyDescent="0.25">
      <c r="Q192" s="7" t="s">
        <v>496</v>
      </c>
    </row>
    <row r="193" spans="17:17" x14ac:dyDescent="0.25">
      <c r="Q193" s="7" t="s">
        <v>497</v>
      </c>
    </row>
    <row r="194" spans="17:17" x14ac:dyDescent="0.25">
      <c r="Q194" s="7" t="s">
        <v>498</v>
      </c>
    </row>
    <row r="195" spans="17:17" x14ac:dyDescent="0.25">
      <c r="Q195" s="7" t="s">
        <v>499</v>
      </c>
    </row>
    <row r="196" spans="17:17" x14ac:dyDescent="0.25">
      <c r="Q196" s="7" t="s">
        <v>500</v>
      </c>
    </row>
    <row r="197" spans="17:17" x14ac:dyDescent="0.25">
      <c r="Q197" s="7" t="s">
        <v>501</v>
      </c>
    </row>
    <row r="198" spans="17:17" x14ac:dyDescent="0.25">
      <c r="Q198" s="7" t="s">
        <v>502</v>
      </c>
    </row>
    <row r="199" spans="17:17" x14ac:dyDescent="0.25">
      <c r="Q199" s="7" t="s">
        <v>503</v>
      </c>
    </row>
    <row r="200" spans="17:17" x14ac:dyDescent="0.25">
      <c r="Q200" s="7" t="s">
        <v>504</v>
      </c>
    </row>
    <row r="201" spans="17:17" x14ac:dyDescent="0.25">
      <c r="Q201" s="7" t="s">
        <v>505</v>
      </c>
    </row>
    <row r="202" spans="17:17" x14ac:dyDescent="0.25">
      <c r="Q202" s="7" t="s">
        <v>506</v>
      </c>
    </row>
  </sheetData>
  <sortState ref="Q4:Q205">
    <sortCondition ref="Q4:Q205"/>
  </sortState>
  <pageMargins left="0.7" right="0.7" top="0.75" bottom="0.75" header="0.3" footer="0.3"/>
  <pageSetup paperSize="9" orientation="portrait" r:id="rId1"/>
  <ignoredErrors>
    <ignoredError sqref="C13:C22 A150:A180 A136:A149 A133:A135 A13 A1:A12 A14:A120" twoDigitTextYear="1"/>
    <ignoredError sqref="F16:F17" numberStoredAsText="1"/>
  </ignoredError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J59"/>
  <sheetViews>
    <sheetView workbookViewId="0">
      <selection activeCell="E36" sqref="E36"/>
    </sheetView>
  </sheetViews>
  <sheetFormatPr defaultColWidth="9.109375" defaultRowHeight="14.4" x14ac:dyDescent="0.3"/>
  <cols>
    <col min="1" max="1" width="9.88671875" style="105" customWidth="1"/>
    <col min="2" max="2" width="13.6640625" style="103" bestFit="1" customWidth="1"/>
    <col min="3" max="3" width="9.88671875" style="103" customWidth="1"/>
    <col min="4" max="4" width="20.88671875" style="103" customWidth="1"/>
    <col min="5" max="5" width="9.6640625" style="103" customWidth="1"/>
    <col min="6" max="6" width="13.6640625" style="103" bestFit="1" customWidth="1"/>
    <col min="7" max="7" width="9.88671875" style="103" customWidth="1"/>
    <col min="8" max="8" width="15.44140625" style="103" customWidth="1"/>
    <col min="9" max="16384" width="9.109375" style="103"/>
  </cols>
  <sheetData>
    <row r="1" spans="1:10" ht="15.6" x14ac:dyDescent="0.3">
      <c r="A1" s="195">
        <v>1</v>
      </c>
      <c r="B1" s="109"/>
      <c r="C1" s="195">
        <v>6</v>
      </c>
      <c r="D1" s="110"/>
      <c r="E1" s="195">
        <v>11</v>
      </c>
      <c r="F1" s="109"/>
      <c r="G1" s="195" t="s">
        <v>510</v>
      </c>
    </row>
    <row r="2" spans="1:10" ht="7.5" customHeight="1" x14ac:dyDescent="0.3">
      <c r="A2" s="195"/>
      <c r="B2" s="110"/>
      <c r="C2" s="195"/>
      <c r="D2" s="110"/>
      <c r="E2" s="195"/>
      <c r="F2" s="110"/>
      <c r="G2" s="195"/>
    </row>
    <row r="3" spans="1:10" ht="11.25" customHeight="1" x14ac:dyDescent="0.3">
      <c r="A3" s="195"/>
      <c r="B3" s="111"/>
      <c r="C3" s="195"/>
      <c r="D3" s="110"/>
      <c r="E3" s="195"/>
      <c r="F3" s="111"/>
      <c r="G3" s="195"/>
    </row>
    <row r="4" spans="1:10" ht="15" customHeight="1" x14ac:dyDescent="0.3">
      <c r="A4" s="195"/>
      <c r="B4" s="112"/>
      <c r="C4" s="195"/>
      <c r="D4" s="110"/>
      <c r="E4" s="195"/>
      <c r="F4" s="112"/>
      <c r="G4" s="195"/>
    </row>
    <row r="5" spans="1:10" ht="15" customHeight="1" x14ac:dyDescent="0.3">
      <c r="A5" s="195"/>
      <c r="B5" s="112"/>
      <c r="C5" s="195"/>
      <c r="D5" s="110"/>
      <c r="E5" s="195"/>
      <c r="F5" s="112"/>
      <c r="G5" s="195"/>
      <c r="H5" s="108"/>
      <c r="I5" s="108"/>
    </row>
    <row r="6" spans="1:10" ht="15" customHeight="1" x14ac:dyDescent="0.3">
      <c r="A6" s="195"/>
      <c r="B6" s="112"/>
      <c r="C6" s="195"/>
      <c r="D6" s="110"/>
      <c r="E6" s="195"/>
      <c r="F6" s="112"/>
      <c r="G6" s="195"/>
      <c r="H6" s="79"/>
      <c r="I6" s="79"/>
    </row>
    <row r="7" spans="1:10" ht="15" customHeight="1" x14ac:dyDescent="0.3">
      <c r="A7" s="195"/>
      <c r="B7" s="113"/>
      <c r="C7" s="195"/>
      <c r="D7" s="110"/>
      <c r="E7" s="195"/>
      <c r="F7" s="113"/>
      <c r="G7" s="195"/>
      <c r="H7" s="108"/>
      <c r="I7" s="108"/>
      <c r="J7" s="104"/>
    </row>
    <row r="8" spans="1:10" ht="15" customHeight="1" x14ac:dyDescent="0.3">
      <c r="A8" s="195"/>
      <c r="B8" s="113"/>
      <c r="C8" s="195"/>
      <c r="D8" s="110"/>
      <c r="E8" s="195"/>
      <c r="F8" s="113"/>
      <c r="G8" s="195"/>
      <c r="H8" s="108"/>
      <c r="I8" s="108"/>
      <c r="J8" s="104"/>
    </row>
    <row r="9" spans="1:10" ht="15" customHeight="1" x14ac:dyDescent="0.3">
      <c r="A9" s="195"/>
      <c r="B9" s="113"/>
      <c r="C9" s="195"/>
      <c r="D9" s="110"/>
      <c r="E9" s="195"/>
      <c r="F9" s="113"/>
      <c r="G9" s="195"/>
      <c r="H9" s="108"/>
      <c r="I9" s="108"/>
      <c r="J9" s="104"/>
    </row>
    <row r="10" spans="1:10" ht="15.75" customHeight="1" x14ac:dyDescent="0.3">
      <c r="A10" s="195"/>
      <c r="B10" s="114"/>
      <c r="C10" s="195"/>
      <c r="D10" s="110"/>
      <c r="E10" s="195"/>
      <c r="F10" s="114"/>
      <c r="G10" s="195"/>
      <c r="H10" s="104"/>
      <c r="I10" s="104"/>
      <c r="J10" s="104"/>
    </row>
    <row r="11" spans="1:10" ht="16.5" customHeight="1" x14ac:dyDescent="0.3">
      <c r="A11" s="195"/>
      <c r="B11" s="112"/>
      <c r="C11" s="195"/>
      <c r="D11" s="110"/>
      <c r="E11" s="195"/>
      <c r="F11" s="112"/>
      <c r="G11" s="195"/>
      <c r="H11" s="104"/>
      <c r="I11" s="104"/>
      <c r="J11" s="104"/>
    </row>
    <row r="12" spans="1:10" x14ac:dyDescent="0.3">
      <c r="A12" s="115"/>
      <c r="B12" s="110"/>
      <c r="C12" s="110"/>
      <c r="D12" s="110"/>
      <c r="E12" s="110"/>
      <c r="F12" s="110"/>
      <c r="G12" s="110"/>
    </row>
    <row r="13" spans="1:10" ht="15.6" x14ac:dyDescent="0.3">
      <c r="A13" s="195">
        <v>2</v>
      </c>
      <c r="B13" s="109"/>
      <c r="C13" s="195">
        <v>7</v>
      </c>
      <c r="D13" s="110"/>
      <c r="E13" s="195">
        <v>12</v>
      </c>
      <c r="F13" s="109"/>
      <c r="G13" s="195" t="s">
        <v>511</v>
      </c>
    </row>
    <row r="14" spans="1:10" ht="7.5" customHeight="1" x14ac:dyDescent="0.3">
      <c r="A14" s="195"/>
      <c r="B14" s="110"/>
      <c r="C14" s="195"/>
      <c r="D14" s="110"/>
      <c r="E14" s="195"/>
      <c r="F14" s="110"/>
      <c r="G14" s="195"/>
    </row>
    <row r="15" spans="1:10" ht="11.25" customHeight="1" x14ac:dyDescent="0.3">
      <c r="A15" s="195"/>
      <c r="B15" s="111"/>
      <c r="C15" s="195"/>
      <c r="D15" s="110"/>
      <c r="E15" s="195"/>
      <c r="F15" s="111"/>
      <c r="G15" s="195"/>
    </row>
    <row r="16" spans="1:10" ht="15" customHeight="1" x14ac:dyDescent="0.3">
      <c r="A16" s="195"/>
      <c r="B16" s="112"/>
      <c r="C16" s="195"/>
      <c r="D16" s="110"/>
      <c r="E16" s="195"/>
      <c r="F16" s="112"/>
      <c r="G16" s="195"/>
    </row>
    <row r="17" spans="1:7" ht="15" customHeight="1" x14ac:dyDescent="0.3">
      <c r="A17" s="195"/>
      <c r="B17" s="112"/>
      <c r="C17" s="195"/>
      <c r="D17" s="110"/>
      <c r="E17" s="195"/>
      <c r="F17" s="112"/>
      <c r="G17" s="195"/>
    </row>
    <row r="18" spans="1:7" ht="15" customHeight="1" x14ac:dyDescent="0.3">
      <c r="A18" s="195"/>
      <c r="B18" s="112"/>
      <c r="C18" s="195"/>
      <c r="D18" s="110"/>
      <c r="E18" s="195"/>
      <c r="F18" s="112"/>
      <c r="G18" s="195"/>
    </row>
    <row r="19" spans="1:7" ht="15" customHeight="1" x14ac:dyDescent="0.3">
      <c r="A19" s="195"/>
      <c r="B19" s="113"/>
      <c r="C19" s="195"/>
      <c r="D19" s="110"/>
      <c r="E19" s="195"/>
      <c r="F19" s="113"/>
      <c r="G19" s="195"/>
    </row>
    <row r="20" spans="1:7" ht="15" customHeight="1" x14ac:dyDescent="0.3">
      <c r="A20" s="195"/>
      <c r="B20" s="113"/>
      <c r="C20" s="195"/>
      <c r="D20" s="110"/>
      <c r="E20" s="195"/>
      <c r="F20" s="113"/>
      <c r="G20" s="195"/>
    </row>
    <row r="21" spans="1:7" ht="15" customHeight="1" x14ac:dyDescent="0.3">
      <c r="A21" s="195"/>
      <c r="B21" s="113"/>
      <c r="C21" s="195"/>
      <c r="D21" s="110"/>
      <c r="E21" s="195"/>
      <c r="F21" s="113"/>
      <c r="G21" s="195"/>
    </row>
    <row r="22" spans="1:7" ht="15" customHeight="1" x14ac:dyDescent="0.3">
      <c r="A22" s="195"/>
      <c r="B22" s="114"/>
      <c r="C22" s="195"/>
      <c r="D22" s="110"/>
      <c r="E22" s="195"/>
      <c r="F22" s="114"/>
      <c r="G22" s="195"/>
    </row>
    <row r="23" spans="1:7" ht="16.5" customHeight="1" x14ac:dyDescent="0.3">
      <c r="A23" s="195"/>
      <c r="B23" s="112"/>
      <c r="C23" s="195"/>
      <c r="D23" s="110"/>
      <c r="E23" s="195"/>
      <c r="F23" s="112"/>
      <c r="G23" s="195"/>
    </row>
    <row r="24" spans="1:7" x14ac:dyDescent="0.3">
      <c r="A24" s="115"/>
      <c r="B24" s="110"/>
      <c r="C24" s="110"/>
      <c r="D24" s="110"/>
      <c r="E24" s="110"/>
      <c r="F24" s="110"/>
      <c r="G24" s="110"/>
    </row>
    <row r="25" spans="1:7" ht="15.6" x14ac:dyDescent="0.3">
      <c r="A25" s="195">
        <v>3</v>
      </c>
      <c r="B25" s="109"/>
      <c r="C25" s="195">
        <v>8</v>
      </c>
      <c r="D25" s="110"/>
      <c r="E25" s="195" t="s">
        <v>512</v>
      </c>
      <c r="F25" s="109"/>
      <c r="G25" s="195" t="s">
        <v>512</v>
      </c>
    </row>
    <row r="26" spans="1:7" ht="7.5" customHeight="1" x14ac:dyDescent="0.3">
      <c r="A26" s="195"/>
      <c r="B26" s="110"/>
      <c r="C26" s="195"/>
      <c r="D26" s="110"/>
      <c r="E26" s="195"/>
      <c r="F26" s="110"/>
      <c r="G26" s="195"/>
    </row>
    <row r="27" spans="1:7" ht="11.25" customHeight="1" x14ac:dyDescent="0.3">
      <c r="A27" s="195"/>
      <c r="B27" s="111"/>
      <c r="C27" s="195"/>
      <c r="D27" s="110"/>
      <c r="E27" s="195"/>
      <c r="F27" s="111"/>
      <c r="G27" s="195"/>
    </row>
    <row r="28" spans="1:7" ht="15" customHeight="1" x14ac:dyDescent="0.3">
      <c r="A28" s="195"/>
      <c r="B28" s="112"/>
      <c r="C28" s="195"/>
      <c r="D28" s="110"/>
      <c r="E28" s="195"/>
      <c r="F28" s="112"/>
      <c r="G28" s="195"/>
    </row>
    <row r="29" spans="1:7" ht="15" customHeight="1" x14ac:dyDescent="0.3">
      <c r="A29" s="195"/>
      <c r="B29" s="112"/>
      <c r="C29" s="195"/>
      <c r="D29" s="110"/>
      <c r="E29" s="195"/>
      <c r="F29" s="112"/>
      <c r="G29" s="195"/>
    </row>
    <row r="30" spans="1:7" ht="15" customHeight="1" x14ac:dyDescent="0.3">
      <c r="A30" s="195"/>
      <c r="B30" s="112"/>
      <c r="C30" s="195"/>
      <c r="D30" s="110"/>
      <c r="E30" s="195"/>
      <c r="F30" s="112"/>
      <c r="G30" s="195"/>
    </row>
    <row r="31" spans="1:7" ht="15" customHeight="1" x14ac:dyDescent="0.3">
      <c r="A31" s="195"/>
      <c r="B31" s="113"/>
      <c r="C31" s="195"/>
      <c r="D31" s="110"/>
      <c r="E31" s="195"/>
      <c r="F31" s="113"/>
      <c r="G31" s="195"/>
    </row>
    <row r="32" spans="1:7" ht="15" customHeight="1" x14ac:dyDescent="0.3">
      <c r="A32" s="195"/>
      <c r="B32" s="113"/>
      <c r="C32" s="195"/>
      <c r="D32" s="110"/>
      <c r="E32" s="195"/>
      <c r="F32" s="113"/>
      <c r="G32" s="195"/>
    </row>
    <row r="33" spans="1:7" ht="15" customHeight="1" x14ac:dyDescent="0.3">
      <c r="A33" s="195"/>
      <c r="B33" s="113"/>
      <c r="C33" s="195"/>
      <c r="D33" s="110"/>
      <c r="E33" s="195"/>
      <c r="F33" s="113"/>
      <c r="G33" s="195"/>
    </row>
    <row r="34" spans="1:7" ht="15" customHeight="1" x14ac:dyDescent="0.3">
      <c r="A34" s="195"/>
      <c r="B34" s="114"/>
      <c r="C34" s="195"/>
      <c r="D34" s="110"/>
      <c r="E34" s="195"/>
      <c r="F34" s="114"/>
      <c r="G34" s="195"/>
    </row>
    <row r="35" spans="1:7" ht="16.5" customHeight="1" x14ac:dyDescent="0.3">
      <c r="A35" s="195"/>
      <c r="B35" s="112"/>
      <c r="C35" s="195"/>
      <c r="D35" s="110"/>
      <c r="E35" s="195"/>
      <c r="F35" s="112"/>
      <c r="G35" s="195"/>
    </row>
    <row r="36" spans="1:7" x14ac:dyDescent="0.3">
      <c r="A36" s="115"/>
      <c r="B36" s="110"/>
      <c r="C36" s="110"/>
      <c r="D36" s="110"/>
      <c r="E36" s="110"/>
      <c r="F36" s="110"/>
      <c r="G36" s="110"/>
    </row>
    <row r="37" spans="1:7" ht="15.75" customHeight="1" x14ac:dyDescent="0.3">
      <c r="A37" s="195">
        <v>4</v>
      </c>
      <c r="B37" s="109"/>
      <c r="C37" s="195">
        <v>9</v>
      </c>
      <c r="D37" s="110"/>
      <c r="E37" s="195" t="s">
        <v>291</v>
      </c>
      <c r="F37" s="109"/>
      <c r="G37" s="195" t="s">
        <v>511</v>
      </c>
    </row>
    <row r="38" spans="1:7" ht="7.5" customHeight="1" x14ac:dyDescent="0.3">
      <c r="A38" s="195"/>
      <c r="B38" s="110"/>
      <c r="C38" s="195"/>
      <c r="D38" s="110"/>
      <c r="E38" s="195"/>
      <c r="F38" s="110"/>
      <c r="G38" s="195"/>
    </row>
    <row r="39" spans="1:7" ht="11.25" customHeight="1" x14ac:dyDescent="0.3">
      <c r="A39" s="195"/>
      <c r="B39" s="111"/>
      <c r="C39" s="195"/>
      <c r="D39" s="110"/>
      <c r="E39" s="195"/>
      <c r="F39" s="111"/>
      <c r="G39" s="195"/>
    </row>
    <row r="40" spans="1:7" ht="15" customHeight="1" x14ac:dyDescent="0.3">
      <c r="A40" s="195"/>
      <c r="B40" s="112"/>
      <c r="C40" s="195"/>
      <c r="D40" s="110"/>
      <c r="E40" s="195"/>
      <c r="F40" s="112"/>
      <c r="G40" s="195"/>
    </row>
    <row r="41" spans="1:7" ht="15" customHeight="1" x14ac:dyDescent="0.3">
      <c r="A41" s="195"/>
      <c r="B41" s="112"/>
      <c r="C41" s="195"/>
      <c r="D41" s="110"/>
      <c r="E41" s="195"/>
      <c r="F41" s="112"/>
      <c r="G41" s="195"/>
    </row>
    <row r="42" spans="1:7" ht="15" customHeight="1" x14ac:dyDescent="0.3">
      <c r="A42" s="195"/>
      <c r="B42" s="112"/>
      <c r="C42" s="195"/>
      <c r="D42" s="110"/>
      <c r="E42" s="195"/>
      <c r="F42" s="112"/>
      <c r="G42" s="195"/>
    </row>
    <row r="43" spans="1:7" ht="15" customHeight="1" x14ac:dyDescent="0.3">
      <c r="A43" s="195"/>
      <c r="B43" s="113"/>
      <c r="C43" s="195"/>
      <c r="D43" s="110"/>
      <c r="E43" s="195"/>
      <c r="F43" s="113"/>
      <c r="G43" s="195"/>
    </row>
    <row r="44" spans="1:7" ht="15" customHeight="1" x14ac:dyDescent="0.3">
      <c r="A44" s="195"/>
      <c r="B44" s="113"/>
      <c r="C44" s="195"/>
      <c r="D44" s="110"/>
      <c r="E44" s="195"/>
      <c r="F44" s="113"/>
      <c r="G44" s="195"/>
    </row>
    <row r="45" spans="1:7" ht="15" customHeight="1" x14ac:dyDescent="0.3">
      <c r="A45" s="195"/>
      <c r="B45" s="113"/>
      <c r="C45" s="195"/>
      <c r="D45" s="110"/>
      <c r="E45" s="195"/>
      <c r="F45" s="113"/>
      <c r="G45" s="195"/>
    </row>
    <row r="46" spans="1:7" ht="15" customHeight="1" x14ac:dyDescent="0.3">
      <c r="A46" s="195"/>
      <c r="B46" s="114"/>
      <c r="C46" s="195"/>
      <c r="D46" s="110"/>
      <c r="E46" s="195"/>
      <c r="F46" s="114"/>
      <c r="G46" s="195"/>
    </row>
    <row r="47" spans="1:7" ht="16.5" customHeight="1" x14ac:dyDescent="0.3">
      <c r="A47" s="195"/>
      <c r="B47" s="112"/>
      <c r="C47" s="195"/>
      <c r="D47" s="110"/>
      <c r="E47" s="195"/>
      <c r="F47" s="112"/>
      <c r="G47" s="195"/>
    </row>
    <row r="48" spans="1:7" x14ac:dyDescent="0.3">
      <c r="A48" s="116"/>
      <c r="B48" s="110"/>
      <c r="C48" s="110"/>
      <c r="D48" s="110"/>
      <c r="E48" s="110"/>
      <c r="F48" s="110"/>
      <c r="G48" s="110"/>
    </row>
    <row r="49" spans="1:7" ht="15.6" x14ac:dyDescent="0.3">
      <c r="A49" s="195">
        <v>5</v>
      </c>
      <c r="B49" s="109"/>
      <c r="C49" s="195">
        <v>10</v>
      </c>
      <c r="D49" s="110"/>
      <c r="E49" s="195" t="s">
        <v>291</v>
      </c>
      <c r="F49" s="109"/>
      <c r="G49" s="195" t="s">
        <v>510</v>
      </c>
    </row>
    <row r="50" spans="1:7" ht="7.5" customHeight="1" x14ac:dyDescent="0.3">
      <c r="A50" s="195"/>
      <c r="B50" s="110"/>
      <c r="C50" s="195"/>
      <c r="D50" s="110"/>
      <c r="E50" s="195"/>
      <c r="F50" s="110"/>
      <c r="G50" s="195"/>
    </row>
    <row r="51" spans="1:7" ht="11.25" customHeight="1" x14ac:dyDescent="0.3">
      <c r="A51" s="195"/>
      <c r="B51" s="111"/>
      <c r="C51" s="195"/>
      <c r="D51" s="110"/>
      <c r="E51" s="195"/>
      <c r="F51" s="111"/>
      <c r="G51" s="195"/>
    </row>
    <row r="52" spans="1:7" ht="15" customHeight="1" x14ac:dyDescent="0.3">
      <c r="A52" s="195"/>
      <c r="B52" s="112"/>
      <c r="C52" s="195"/>
      <c r="D52" s="110"/>
      <c r="E52" s="195"/>
      <c r="F52" s="112"/>
      <c r="G52" s="195"/>
    </row>
    <row r="53" spans="1:7" ht="15" customHeight="1" x14ac:dyDescent="0.3">
      <c r="A53" s="195"/>
      <c r="B53" s="112"/>
      <c r="C53" s="195"/>
      <c r="D53" s="110"/>
      <c r="E53" s="195"/>
      <c r="F53" s="112"/>
      <c r="G53" s="195"/>
    </row>
    <row r="54" spans="1:7" ht="15" customHeight="1" x14ac:dyDescent="0.3">
      <c r="A54" s="195"/>
      <c r="B54" s="112"/>
      <c r="C54" s="195"/>
      <c r="D54" s="110"/>
      <c r="E54" s="195"/>
      <c r="F54" s="112"/>
      <c r="G54" s="195"/>
    </row>
    <row r="55" spans="1:7" ht="15" customHeight="1" x14ac:dyDescent="0.3">
      <c r="A55" s="195"/>
      <c r="B55" s="113"/>
      <c r="C55" s="195"/>
      <c r="D55" s="110"/>
      <c r="E55" s="195"/>
      <c r="F55" s="113"/>
      <c r="G55" s="195"/>
    </row>
    <row r="56" spans="1:7" ht="15" customHeight="1" x14ac:dyDescent="0.3">
      <c r="A56" s="195"/>
      <c r="B56" s="113"/>
      <c r="C56" s="195"/>
      <c r="D56" s="110"/>
      <c r="E56" s="195"/>
      <c r="F56" s="113"/>
      <c r="G56" s="195"/>
    </row>
    <row r="57" spans="1:7" ht="15" customHeight="1" x14ac:dyDescent="0.3">
      <c r="A57" s="195"/>
      <c r="B57" s="113"/>
      <c r="C57" s="195"/>
      <c r="D57" s="110"/>
      <c r="E57" s="195"/>
      <c r="F57" s="113"/>
      <c r="G57" s="195"/>
    </row>
    <row r="58" spans="1:7" ht="15" customHeight="1" x14ac:dyDescent="0.3">
      <c r="A58" s="195"/>
      <c r="B58" s="114"/>
      <c r="C58" s="195"/>
      <c r="D58" s="110"/>
      <c r="E58" s="195"/>
      <c r="F58" s="114"/>
      <c r="G58" s="195"/>
    </row>
    <row r="59" spans="1:7" ht="16.5" customHeight="1" x14ac:dyDescent="0.3">
      <c r="A59" s="195"/>
      <c r="B59" s="112"/>
      <c r="C59" s="195"/>
      <c r="D59" s="110"/>
      <c r="E59" s="195"/>
      <c r="F59" s="112"/>
      <c r="G59" s="195"/>
    </row>
  </sheetData>
  <mergeCells count="20">
    <mergeCell ref="A1:A11"/>
    <mergeCell ref="C1:C11"/>
    <mergeCell ref="E1:E11"/>
    <mergeCell ref="G1:G11"/>
    <mergeCell ref="A13:A23"/>
    <mergeCell ref="C13:C23"/>
    <mergeCell ref="E13:E23"/>
    <mergeCell ref="G13:G23"/>
    <mergeCell ref="A49:A59"/>
    <mergeCell ref="C49:C59"/>
    <mergeCell ref="E49:E59"/>
    <mergeCell ref="G49:G59"/>
    <mergeCell ref="A25:A35"/>
    <mergeCell ref="C25:C35"/>
    <mergeCell ref="E25:E35"/>
    <mergeCell ref="G25:G35"/>
    <mergeCell ref="A37:A47"/>
    <mergeCell ref="C37:C47"/>
    <mergeCell ref="E37:E47"/>
    <mergeCell ref="G37:G47"/>
  </mergeCells>
  <pageMargins left="0" right="0" top="0.35433070866141736" bottom="0" header="0" footer="0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J53"/>
  <sheetViews>
    <sheetView workbookViewId="0">
      <selection activeCell="C2" sqref="C2"/>
    </sheetView>
  </sheetViews>
  <sheetFormatPr defaultColWidth="9.109375" defaultRowHeight="14.4" x14ac:dyDescent="0.3"/>
  <cols>
    <col min="1" max="1" width="6.33203125" style="73" customWidth="1"/>
    <col min="2" max="2" width="17.109375" style="74" customWidth="1"/>
    <col min="3" max="3" width="15.88671875" style="74" customWidth="1"/>
    <col min="4" max="4" width="14.109375" style="74" bestFit="1" customWidth="1"/>
    <col min="5" max="5" width="17.44140625" style="74" customWidth="1"/>
    <col min="6" max="16384" width="9.109375" style="74"/>
  </cols>
  <sheetData>
    <row r="1" spans="1:10" ht="23.4" x14ac:dyDescent="0.45">
      <c r="B1" s="117"/>
      <c r="C1" s="196" t="s">
        <v>509</v>
      </c>
      <c r="D1" s="196"/>
      <c r="E1" s="196"/>
      <c r="F1" s="117"/>
      <c r="G1" s="117"/>
    </row>
    <row r="2" spans="1:10" x14ac:dyDescent="0.3">
      <c r="B2" s="117"/>
      <c r="C2" s="118"/>
      <c r="D2" s="118"/>
      <c r="E2" s="118"/>
      <c r="F2" s="117"/>
      <c r="G2" s="117"/>
    </row>
    <row r="3" spans="1:10" x14ac:dyDescent="0.3">
      <c r="B3" s="117"/>
      <c r="C3" s="117"/>
      <c r="D3" s="117"/>
      <c r="E3" s="117"/>
      <c r="F3" s="117"/>
      <c r="G3" s="117"/>
    </row>
    <row r="4" spans="1:10" x14ac:dyDescent="0.3">
      <c r="B4" s="117"/>
      <c r="C4" s="117"/>
      <c r="D4" s="117"/>
      <c r="E4" s="117"/>
      <c r="F4" s="117"/>
      <c r="G4" s="117"/>
    </row>
    <row r="5" spans="1:10" ht="15" customHeight="1" x14ac:dyDescent="0.3">
      <c r="A5" s="142"/>
      <c r="B5" s="117"/>
      <c r="C5" s="117"/>
      <c r="D5" s="197"/>
      <c r="E5" s="197"/>
      <c r="F5" s="117"/>
      <c r="G5" s="117"/>
    </row>
    <row r="6" spans="1:10" x14ac:dyDescent="0.3">
      <c r="A6" s="142"/>
      <c r="B6" s="117"/>
      <c r="C6" s="117"/>
      <c r="D6" s="112"/>
      <c r="E6" s="119"/>
      <c r="F6" s="117"/>
      <c r="G6" s="117"/>
    </row>
    <row r="7" spans="1:10" x14ac:dyDescent="0.3">
      <c r="A7" s="142"/>
      <c r="B7" s="117"/>
      <c r="C7" s="117"/>
      <c r="D7" s="112"/>
      <c r="E7" s="119"/>
      <c r="F7" s="120"/>
      <c r="G7" s="120"/>
      <c r="H7" s="77"/>
      <c r="I7" s="77"/>
    </row>
    <row r="8" spans="1:10" x14ac:dyDescent="0.3">
      <c r="A8" s="142"/>
      <c r="B8" s="117"/>
      <c r="C8" s="117"/>
      <c r="D8" s="112"/>
      <c r="E8" s="112"/>
      <c r="F8" s="121"/>
      <c r="G8" s="112"/>
      <c r="H8" s="79"/>
      <c r="I8" s="79"/>
    </row>
    <row r="9" spans="1:10" x14ac:dyDescent="0.3">
      <c r="A9" s="142"/>
      <c r="B9" s="117"/>
      <c r="C9" s="117"/>
      <c r="D9" s="112"/>
      <c r="E9" s="119"/>
      <c r="F9" s="121"/>
      <c r="G9" s="112"/>
      <c r="H9" s="79"/>
      <c r="I9" s="79"/>
    </row>
    <row r="10" spans="1:10" x14ac:dyDescent="0.3">
      <c r="A10" s="142"/>
      <c r="B10" s="122"/>
      <c r="C10" s="117"/>
      <c r="D10" s="198"/>
      <c r="E10" s="198"/>
      <c r="F10" s="120"/>
      <c r="G10" s="120"/>
      <c r="H10" s="77"/>
      <c r="I10" s="77"/>
      <c r="J10" s="81"/>
    </row>
    <row r="11" spans="1:10" x14ac:dyDescent="0.3">
      <c r="A11" s="142"/>
      <c r="B11" s="122"/>
      <c r="C11" s="117"/>
      <c r="D11" s="113"/>
      <c r="E11" s="113"/>
      <c r="F11" s="120"/>
      <c r="G11" s="120"/>
      <c r="H11" s="77"/>
      <c r="I11" s="77"/>
      <c r="J11" s="81"/>
    </row>
    <row r="12" spans="1:10" x14ac:dyDescent="0.3">
      <c r="A12" s="142"/>
      <c r="B12" s="122"/>
      <c r="C12" s="117"/>
      <c r="D12" s="113"/>
      <c r="E12" s="113"/>
      <c r="F12" s="120"/>
      <c r="G12" s="120"/>
      <c r="H12" s="77"/>
      <c r="I12" s="77"/>
      <c r="J12" s="81"/>
    </row>
    <row r="13" spans="1:10" x14ac:dyDescent="0.3">
      <c r="A13" s="142"/>
      <c r="B13" s="122"/>
      <c r="C13" s="117"/>
      <c r="D13" s="113"/>
      <c r="E13" s="113"/>
      <c r="F13" s="120"/>
      <c r="G13" s="120"/>
      <c r="H13" s="77"/>
      <c r="I13" s="77"/>
      <c r="J13" s="81"/>
    </row>
    <row r="14" spans="1:10" x14ac:dyDescent="0.3">
      <c r="A14" s="142"/>
      <c r="B14" s="117"/>
      <c r="C14" s="117"/>
      <c r="D14" s="197"/>
      <c r="E14" s="197"/>
      <c r="F14" s="121"/>
      <c r="G14" s="112"/>
      <c r="H14" s="79"/>
      <c r="I14" s="79"/>
      <c r="J14" s="81"/>
    </row>
    <row r="15" spans="1:10" x14ac:dyDescent="0.3">
      <c r="A15" s="142"/>
      <c r="B15" s="117"/>
      <c r="C15" s="117"/>
      <c r="D15" s="112"/>
      <c r="E15" s="112"/>
      <c r="F15" s="112"/>
      <c r="G15" s="112"/>
      <c r="H15" s="79"/>
      <c r="I15" s="79"/>
      <c r="J15" s="81"/>
    </row>
    <row r="16" spans="1:10" ht="15.6" x14ac:dyDescent="0.3">
      <c r="A16" s="142"/>
      <c r="B16" s="117"/>
      <c r="C16" s="117"/>
      <c r="D16" s="112"/>
      <c r="E16" s="123"/>
      <c r="F16" s="117"/>
      <c r="G16" s="117"/>
      <c r="H16" s="81"/>
      <c r="I16" s="81"/>
      <c r="J16" s="81"/>
    </row>
    <row r="17" spans="1:10" ht="15.75" customHeight="1" x14ac:dyDescent="0.3">
      <c r="A17" s="142"/>
      <c r="B17" s="117"/>
      <c r="C17" s="117"/>
      <c r="D17" s="117"/>
      <c r="E17" s="117"/>
      <c r="F17" s="117"/>
      <c r="G17" s="117"/>
      <c r="H17" s="81"/>
      <c r="I17" s="81"/>
      <c r="J17" s="81"/>
    </row>
    <row r="18" spans="1:10" ht="15.75" customHeight="1" x14ac:dyDescent="0.3">
      <c r="A18" s="142"/>
      <c r="B18" s="117"/>
      <c r="C18" s="117"/>
      <c r="D18" s="199"/>
      <c r="E18" s="200"/>
      <c r="F18" s="117"/>
      <c r="G18" s="117"/>
      <c r="H18" s="81"/>
      <c r="I18" s="81"/>
      <c r="J18" s="81"/>
    </row>
    <row r="19" spans="1:10" ht="15" customHeight="1" x14ac:dyDescent="0.3">
      <c r="A19" s="141"/>
      <c r="B19" s="117"/>
      <c r="C19" s="117"/>
      <c r="D19" s="117"/>
      <c r="E19" s="117"/>
      <c r="F19" s="117"/>
      <c r="G19" s="117"/>
      <c r="H19" s="81"/>
      <c r="I19" s="81"/>
      <c r="J19" s="81"/>
    </row>
    <row r="20" spans="1:10" x14ac:dyDescent="0.3">
      <c r="A20" s="141"/>
      <c r="B20" s="117"/>
      <c r="C20" s="117"/>
      <c r="D20" s="117"/>
      <c r="E20" s="117"/>
      <c r="F20" s="117"/>
      <c r="G20" s="117"/>
    </row>
    <row r="21" spans="1:10" x14ac:dyDescent="0.3">
      <c r="A21" s="141"/>
      <c r="B21" s="117"/>
      <c r="C21" s="117"/>
      <c r="D21" s="117"/>
      <c r="E21" s="117"/>
      <c r="F21" s="117"/>
      <c r="G21" s="117"/>
    </row>
    <row r="22" spans="1:10" x14ac:dyDescent="0.3">
      <c r="A22" s="141"/>
      <c r="B22" s="117"/>
      <c r="C22" s="117"/>
      <c r="D22" s="117"/>
      <c r="E22" s="117"/>
      <c r="F22" s="117"/>
      <c r="G22" s="117"/>
    </row>
    <row r="23" spans="1:10" x14ac:dyDescent="0.3">
      <c r="A23" s="141"/>
      <c r="B23" s="117"/>
      <c r="C23" s="117"/>
      <c r="D23" s="117"/>
      <c r="E23" s="117"/>
      <c r="F23" s="117"/>
      <c r="G23" s="117"/>
    </row>
    <row r="24" spans="1:10" x14ac:dyDescent="0.3">
      <c r="A24" s="141"/>
    </row>
    <row r="25" spans="1:10" x14ac:dyDescent="0.3">
      <c r="A25" s="141"/>
    </row>
    <row r="26" spans="1:10" x14ac:dyDescent="0.3">
      <c r="A26" s="141"/>
    </row>
    <row r="27" spans="1:10" x14ac:dyDescent="0.3">
      <c r="A27" s="141"/>
    </row>
    <row r="28" spans="1:10" x14ac:dyDescent="0.3">
      <c r="A28" s="141"/>
    </row>
    <row r="29" spans="1:10" x14ac:dyDescent="0.3">
      <c r="A29" s="141"/>
    </row>
    <row r="30" spans="1:10" x14ac:dyDescent="0.3">
      <c r="A30" s="141"/>
    </row>
    <row r="31" spans="1:10" x14ac:dyDescent="0.3">
      <c r="A31" s="141"/>
    </row>
    <row r="32" spans="1:10" x14ac:dyDescent="0.3">
      <c r="A32" s="141"/>
    </row>
    <row r="33" spans="1:1" x14ac:dyDescent="0.3">
      <c r="A33" s="141"/>
    </row>
    <row r="34" spans="1:1" x14ac:dyDescent="0.3">
      <c r="A34" s="141"/>
    </row>
    <row r="35" spans="1:1" x14ac:dyDescent="0.3">
      <c r="A35" s="141"/>
    </row>
    <row r="36" spans="1:1" ht="23.4" x14ac:dyDescent="0.45">
      <c r="A36" s="83"/>
    </row>
    <row r="37" spans="1:1" ht="23.4" x14ac:dyDescent="0.45">
      <c r="A37" s="83"/>
    </row>
    <row r="38" spans="1:1" ht="23.4" x14ac:dyDescent="0.45">
      <c r="A38" s="83"/>
    </row>
    <row r="39" spans="1:1" ht="23.4" x14ac:dyDescent="0.45">
      <c r="A39" s="83"/>
    </row>
    <row r="40" spans="1:1" ht="23.4" x14ac:dyDescent="0.45">
      <c r="A40" s="83"/>
    </row>
    <row r="41" spans="1:1" ht="15" customHeight="1" x14ac:dyDescent="0.3">
      <c r="A41" s="141"/>
    </row>
    <row r="42" spans="1:1" x14ac:dyDescent="0.3">
      <c r="A42" s="141"/>
    </row>
    <row r="43" spans="1:1" x14ac:dyDescent="0.3">
      <c r="A43" s="141"/>
    </row>
    <row r="44" spans="1:1" x14ac:dyDescent="0.3">
      <c r="A44" s="141"/>
    </row>
    <row r="45" spans="1:1" x14ac:dyDescent="0.3">
      <c r="A45" s="141"/>
    </row>
    <row r="46" spans="1:1" x14ac:dyDescent="0.3">
      <c r="A46" s="141"/>
    </row>
    <row r="47" spans="1:1" x14ac:dyDescent="0.3">
      <c r="A47" s="141"/>
    </row>
    <row r="48" spans="1:1" x14ac:dyDescent="0.3">
      <c r="A48" s="141"/>
    </row>
    <row r="49" spans="1:1" x14ac:dyDescent="0.3">
      <c r="A49" s="141"/>
    </row>
    <row r="50" spans="1:1" x14ac:dyDescent="0.3">
      <c r="A50" s="141"/>
    </row>
    <row r="51" spans="1:1" x14ac:dyDescent="0.3">
      <c r="A51" s="141"/>
    </row>
    <row r="52" spans="1:1" x14ac:dyDescent="0.3">
      <c r="A52" s="141"/>
    </row>
    <row r="53" spans="1:1" x14ac:dyDescent="0.3">
      <c r="A53" s="141"/>
    </row>
  </sheetData>
  <mergeCells count="8">
    <mergeCell ref="A19:A35"/>
    <mergeCell ref="A41:A53"/>
    <mergeCell ref="C1:E1"/>
    <mergeCell ref="A5:A18"/>
    <mergeCell ref="D5:E5"/>
    <mergeCell ref="D10:E10"/>
    <mergeCell ref="D14:E14"/>
    <mergeCell ref="D18:E18"/>
  </mergeCells>
  <pageMargins left="0.23622047244094491" right="0.23622047244094491" top="0" bottom="0.74803149606299213" header="0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38</vt:i4>
      </vt:variant>
    </vt:vector>
  </HeadingPairs>
  <TitlesOfParts>
    <vt:vector size="84" baseType="lpstr">
      <vt:lpstr>Movements Sheet</vt:lpstr>
      <vt:lpstr>T-Card 1</vt:lpstr>
      <vt:lpstr>T-Card 2</vt:lpstr>
      <vt:lpstr>T-Card 3</vt:lpstr>
      <vt:lpstr>T-Card 4</vt:lpstr>
      <vt:lpstr>T-Card 5</vt:lpstr>
      <vt:lpstr>T-Card 6</vt:lpstr>
      <vt:lpstr>T-Card 7</vt:lpstr>
      <vt:lpstr>T-Card 8</vt:lpstr>
      <vt:lpstr>T-Card 9</vt:lpstr>
      <vt:lpstr>T-Card 10</vt:lpstr>
      <vt:lpstr>T-Card 11</vt:lpstr>
      <vt:lpstr>T-Card 12</vt:lpstr>
      <vt:lpstr>Cell Cards</vt:lpstr>
      <vt:lpstr>Cell Cards 2</vt:lpstr>
      <vt:lpstr>Cell Cards 3</vt:lpstr>
      <vt:lpstr>Cell Cards 4</vt:lpstr>
      <vt:lpstr>Gym Card 1</vt:lpstr>
      <vt:lpstr>Gym Card 2</vt:lpstr>
      <vt:lpstr>Gym Card 3</vt:lpstr>
      <vt:lpstr>Gym Card 4</vt:lpstr>
      <vt:lpstr>Gym Card 5</vt:lpstr>
      <vt:lpstr>Gym Card 6</vt:lpstr>
      <vt:lpstr>Gym Card 7</vt:lpstr>
      <vt:lpstr>Gym Card 8</vt:lpstr>
      <vt:lpstr>Gym Card 9</vt:lpstr>
      <vt:lpstr>Gym Card 10</vt:lpstr>
      <vt:lpstr>Gym Card 11</vt:lpstr>
      <vt:lpstr>Gym Card 12</vt:lpstr>
      <vt:lpstr>Label Sheet 1</vt:lpstr>
      <vt:lpstr>Label Sheet 2</vt:lpstr>
      <vt:lpstr>Label Sheet 3</vt:lpstr>
      <vt:lpstr>Label Sheet 4</vt:lpstr>
      <vt:lpstr>Label Sheet 5</vt:lpstr>
      <vt:lpstr>Label Sheet 6</vt:lpstr>
      <vt:lpstr>Label Sheet 7</vt:lpstr>
      <vt:lpstr>Label Sheet 8</vt:lpstr>
      <vt:lpstr>Label Sheet 9</vt:lpstr>
      <vt:lpstr>Label Sheet 10</vt:lpstr>
      <vt:lpstr>Label Sheet 11</vt:lpstr>
      <vt:lpstr>Label Sheet 12</vt:lpstr>
      <vt:lpstr>Data Validation</vt:lpstr>
      <vt:lpstr>Blank Lables</vt:lpstr>
      <vt:lpstr>Data</vt:lpstr>
      <vt:lpstr>UTILITY</vt:lpstr>
      <vt:lpstr>UTILITY CARD</vt:lpstr>
      <vt:lpstr>DATA</vt:lpstr>
      <vt:lpstr>'T-Card 6'!Print_Area</vt:lpstr>
      <vt:lpstr>'Cell Cards'!Text1</vt:lpstr>
      <vt:lpstr>'Cell Cards 2'!Text1</vt:lpstr>
      <vt:lpstr>'Cell Cards 3'!Text1</vt:lpstr>
      <vt:lpstr>'Cell Cards 4'!Text1</vt:lpstr>
      <vt:lpstr>'Cell Cards'!Text10</vt:lpstr>
      <vt:lpstr>'Cell Cards 2'!Text10</vt:lpstr>
      <vt:lpstr>'Cell Cards 3'!Text10</vt:lpstr>
      <vt:lpstr>'Cell Cards 4'!Text10</vt:lpstr>
      <vt:lpstr>'Cell Cards'!Text11</vt:lpstr>
      <vt:lpstr>'Cell Cards 2'!Text11</vt:lpstr>
      <vt:lpstr>'Cell Cards 3'!Text11</vt:lpstr>
      <vt:lpstr>'Cell Cards 4'!Text11</vt:lpstr>
      <vt:lpstr>'Cell Cards'!Text12</vt:lpstr>
      <vt:lpstr>'Cell Cards 2'!Text12</vt:lpstr>
      <vt:lpstr>'Cell Cards 3'!Text12</vt:lpstr>
      <vt:lpstr>'Cell Cards 4'!Text12</vt:lpstr>
      <vt:lpstr>'Cell Cards'!Text5</vt:lpstr>
      <vt:lpstr>'Cell Cards 2'!Text5</vt:lpstr>
      <vt:lpstr>'Cell Cards 3'!Text5</vt:lpstr>
      <vt:lpstr>'Cell Cards 4'!Text5</vt:lpstr>
      <vt:lpstr>'Cell Cards'!Text6</vt:lpstr>
      <vt:lpstr>'Cell Cards 2'!Text6</vt:lpstr>
      <vt:lpstr>'Cell Cards 3'!Text6</vt:lpstr>
      <vt:lpstr>'Cell Cards 4'!Text6</vt:lpstr>
      <vt:lpstr>'Cell Cards'!Text7</vt:lpstr>
      <vt:lpstr>'Cell Cards 2'!Text7</vt:lpstr>
      <vt:lpstr>'Cell Cards 3'!Text7</vt:lpstr>
      <vt:lpstr>'Cell Cards 4'!Text7</vt:lpstr>
      <vt:lpstr>'Cell Cards'!Text8</vt:lpstr>
      <vt:lpstr>'Cell Cards 2'!Text8</vt:lpstr>
      <vt:lpstr>'Cell Cards 3'!Text8</vt:lpstr>
      <vt:lpstr>'Cell Cards 4'!Text8</vt:lpstr>
      <vt:lpstr>'Cell Cards'!Text9</vt:lpstr>
      <vt:lpstr>'Cell Cards 2'!Text9</vt:lpstr>
      <vt:lpstr>'Cell Cards 3'!Text9</vt:lpstr>
      <vt:lpstr>'Cell Cards 4'!Text9</vt:lpstr>
    </vt:vector>
  </TitlesOfParts>
  <Company>MOJ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Saunders, John</dc:creator>
  <cp:lastModifiedBy>Julie Booth</cp:lastModifiedBy>
  <cp:lastPrinted>2017-03-23T15:44:14Z</cp:lastPrinted>
  <dcterms:created xsi:type="dcterms:W3CDTF">2015-06-28T07:55:56Z</dcterms:created>
  <dcterms:modified xsi:type="dcterms:W3CDTF">2017-03-28T19:23:12Z</dcterms:modified>
</cp:coreProperties>
</file>